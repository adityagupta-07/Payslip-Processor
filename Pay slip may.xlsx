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365-my.sharepoint.com/personal/aditya_gupta_ultratendency_com/Documents/Desktop/UT/Ultra Payslip Pro/"/>
    </mc:Choice>
  </mc:AlternateContent>
  <xr:revisionPtr revIDLastSave="29" documentId="13_ncr:1_{8AAAB6A9-C29B-4474-A013-4C41F09677CB}" xr6:coauthVersionLast="47" xr6:coauthVersionMax="47" xr10:uidLastSave="{894D7501-E272-4E85-9223-17C9B138C5FB}"/>
  <bookViews>
    <workbookView xWindow="-120" yWindow="-120" windowWidth="29040" windowHeight="15720" xr2:uid="{CFE8CECF-1890-4666-B97E-4AD4C9F9B3B3}"/>
  </bookViews>
  <sheets>
    <sheet name="Payslip May " sheetId="2" r:id="rId1"/>
  </sheets>
  <externalReferences>
    <externalReference r:id="rId2"/>
  </externalReferences>
  <definedNames>
    <definedName name="_xlnm.Print_Area" localSheetId="0">'Payslip May '!$A$1:$D$612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2" l="1"/>
  <c r="B13" i="2"/>
  <c r="B551" i="2"/>
  <c r="D551" i="2"/>
  <c r="B552" i="2"/>
  <c r="D552" i="2"/>
  <c r="B553" i="2"/>
  <c r="B554" i="2"/>
  <c r="D554" i="2"/>
  <c r="B556" i="2"/>
  <c r="D556" i="2"/>
  <c r="B557" i="2"/>
  <c r="D557" i="2"/>
  <c r="B558" i="2"/>
  <c r="D558" i="2"/>
  <c r="B562" i="2"/>
  <c r="B560" i="2"/>
  <c r="B564" i="2" s="1"/>
  <c r="B567" i="2" s="1"/>
  <c r="B561" i="2"/>
  <c r="B565" i="2"/>
  <c r="B566" i="2"/>
  <c r="E618" i="2"/>
  <c r="E617" i="2"/>
  <c r="E616" i="2"/>
  <c r="B609" i="2"/>
  <c r="B608" i="2"/>
  <c r="B604" i="2"/>
  <c r="B603" i="2"/>
  <c r="B607" i="2" s="1"/>
  <c r="D601" i="2"/>
  <c r="D600" i="2"/>
  <c r="B600" i="2"/>
  <c r="D599" i="2"/>
  <c r="D602" i="2" s="1"/>
  <c r="B599" i="2"/>
  <c r="D597" i="2"/>
  <c r="B597" i="2"/>
  <c r="B596" i="2"/>
  <c r="D594" i="2"/>
  <c r="B594" i="2"/>
  <c r="B593" i="2"/>
  <c r="B588" i="2"/>
  <c r="B587" i="2"/>
  <c r="B583" i="2"/>
  <c r="B582" i="2"/>
  <c r="B586" i="2" s="1"/>
  <c r="B581" i="2"/>
  <c r="D580" i="2"/>
  <c r="D579" i="2"/>
  <c r="B579" i="2"/>
  <c r="D578" i="2"/>
  <c r="D581" i="2" s="1"/>
  <c r="B578" i="2"/>
  <c r="D576" i="2"/>
  <c r="B576" i="2"/>
  <c r="B575" i="2"/>
  <c r="D574" i="2"/>
  <c r="B574" i="2"/>
  <c r="D573" i="2"/>
  <c r="B573" i="2"/>
  <c r="B544" i="2"/>
  <c r="B543" i="2"/>
  <c r="B539" i="2"/>
  <c r="B538" i="2"/>
  <c r="B542" i="2" s="1"/>
  <c r="D536" i="2"/>
  <c r="D535" i="2"/>
  <c r="B535" i="2"/>
  <c r="D534" i="2"/>
  <c r="B534" i="2"/>
  <c r="D532" i="2"/>
  <c r="B532" i="2"/>
  <c r="B531" i="2"/>
  <c r="D530" i="2"/>
  <c r="B530" i="2"/>
  <c r="D529" i="2"/>
  <c r="B529" i="2"/>
  <c r="D528" i="2"/>
  <c r="B522" i="2"/>
  <c r="B521" i="2"/>
  <c r="B517" i="2"/>
  <c r="B516" i="2"/>
  <c r="B520" i="2" s="1"/>
  <c r="B518" i="2"/>
  <c r="D514" i="2"/>
  <c r="D513" i="2"/>
  <c r="B513" i="2"/>
  <c r="D512" i="2"/>
  <c r="B512" i="2"/>
  <c r="D510" i="2"/>
  <c r="B510" i="2"/>
  <c r="B509" i="2"/>
  <c r="D508" i="2"/>
  <c r="B508" i="2"/>
  <c r="D507" i="2"/>
  <c r="B507" i="2"/>
  <c r="D506" i="2"/>
  <c r="B500" i="2"/>
  <c r="B499" i="2"/>
  <c r="B495" i="2"/>
  <c r="B494" i="2"/>
  <c r="B498" i="2" s="1"/>
  <c r="D492" i="2"/>
  <c r="D491" i="2"/>
  <c r="B491" i="2"/>
  <c r="D490" i="2"/>
  <c r="B490" i="2"/>
  <c r="B492" i="2" s="1"/>
  <c r="D488" i="2"/>
  <c r="B488" i="2"/>
  <c r="B487" i="2"/>
  <c r="D486" i="2"/>
  <c r="B486" i="2"/>
  <c r="D485" i="2"/>
  <c r="B485" i="2"/>
  <c r="D484" i="2"/>
  <c r="B478" i="2"/>
  <c r="B477" i="2"/>
  <c r="B473" i="2"/>
  <c r="B472" i="2"/>
  <c r="B476" i="2" s="1"/>
  <c r="D470" i="2"/>
  <c r="D469" i="2"/>
  <c r="B469" i="2"/>
  <c r="D468" i="2"/>
  <c r="D471" i="2" s="1"/>
  <c r="B468" i="2"/>
  <c r="B470" i="2" s="1"/>
  <c r="D466" i="2"/>
  <c r="B466" i="2"/>
  <c r="B465" i="2"/>
  <c r="D464" i="2"/>
  <c r="B464" i="2"/>
  <c r="D463" i="2"/>
  <c r="B463" i="2"/>
  <c r="D462" i="2"/>
  <c r="B456" i="2"/>
  <c r="B455" i="2"/>
  <c r="B451" i="2"/>
  <c r="B450" i="2"/>
  <c r="B454" i="2" s="1"/>
  <c r="B452" i="2"/>
  <c r="D448" i="2"/>
  <c r="D447" i="2"/>
  <c r="B447" i="2"/>
  <c r="D446" i="2"/>
  <c r="D449" i="2" s="1"/>
  <c r="B446" i="2"/>
  <c r="D444" i="2"/>
  <c r="B444" i="2"/>
  <c r="B443" i="2"/>
  <c r="D442" i="2"/>
  <c r="B442" i="2"/>
  <c r="D441" i="2"/>
  <c r="B441" i="2"/>
  <c r="D440" i="2"/>
  <c r="B434" i="2"/>
  <c r="B433" i="2"/>
  <c r="B428" i="2"/>
  <c r="D426" i="2"/>
  <c r="D425" i="2"/>
  <c r="B425" i="2"/>
  <c r="D424" i="2"/>
  <c r="B424" i="2"/>
  <c r="D422" i="2"/>
  <c r="B422" i="2"/>
  <c r="B421" i="2"/>
  <c r="D420" i="2"/>
  <c r="B420" i="2"/>
  <c r="D419" i="2"/>
  <c r="B419" i="2"/>
  <c r="D418" i="2"/>
  <c r="B412" i="2"/>
  <c r="B411" i="2"/>
  <c r="B406" i="2"/>
  <c r="B410" i="2" s="1"/>
  <c r="B413" i="2" s="1"/>
  <c r="B408" i="2"/>
  <c r="B414" i="2" s="1"/>
  <c r="D404" i="2"/>
  <c r="D403" i="2"/>
  <c r="B403" i="2"/>
  <c r="D402" i="2"/>
  <c r="B402" i="2"/>
  <c r="D400" i="2"/>
  <c r="B400" i="2"/>
  <c r="B399" i="2"/>
  <c r="D398" i="2"/>
  <c r="B398" i="2"/>
  <c r="D397" i="2"/>
  <c r="B397" i="2"/>
  <c r="D396" i="2"/>
  <c r="B390" i="2"/>
  <c r="B389" i="2"/>
  <c r="B384" i="2"/>
  <c r="D382" i="2"/>
  <c r="D381" i="2"/>
  <c r="B381" i="2"/>
  <c r="D380" i="2"/>
  <c r="B380" i="2"/>
  <c r="D378" i="2"/>
  <c r="B378" i="2"/>
  <c r="B377" i="2"/>
  <c r="D376" i="2"/>
  <c r="B376" i="2"/>
  <c r="D375" i="2"/>
  <c r="B375" i="2"/>
  <c r="D374" i="2"/>
  <c r="B368" i="2"/>
  <c r="B367" i="2"/>
  <c r="B362" i="2"/>
  <c r="B366" i="2" s="1"/>
  <c r="B364" i="2"/>
  <c r="D360" i="2"/>
  <c r="D359" i="2"/>
  <c r="B359" i="2"/>
  <c r="D358" i="2"/>
  <c r="B358" i="2"/>
  <c r="B360" i="2" s="1"/>
  <c r="D356" i="2"/>
  <c r="B356" i="2"/>
  <c r="B355" i="2"/>
  <c r="D354" i="2"/>
  <c r="B354" i="2"/>
  <c r="D353" i="2"/>
  <c r="B353" i="2"/>
  <c r="D352" i="2"/>
  <c r="B346" i="2"/>
  <c r="B345" i="2"/>
  <c r="B340" i="2"/>
  <c r="D338" i="2"/>
  <c r="D337" i="2"/>
  <c r="B337" i="2"/>
  <c r="D336" i="2"/>
  <c r="D339" i="2" s="1"/>
  <c r="B336" i="2"/>
  <c r="B338" i="2" s="1"/>
  <c r="D334" i="2"/>
  <c r="B334" i="2"/>
  <c r="B333" i="2"/>
  <c r="D332" i="2"/>
  <c r="B332" i="2"/>
  <c r="D331" i="2"/>
  <c r="B331" i="2"/>
  <c r="D330" i="2"/>
  <c r="B324" i="2"/>
  <c r="B323" i="2"/>
  <c r="B318" i="2"/>
  <c r="B322" i="2" s="1"/>
  <c r="B325" i="2" s="1"/>
  <c r="D316" i="2"/>
  <c r="D315" i="2"/>
  <c r="B315" i="2"/>
  <c r="D314" i="2"/>
  <c r="D317" i="2" s="1"/>
  <c r="B314" i="2"/>
  <c r="D312" i="2"/>
  <c r="B312" i="2"/>
  <c r="B311" i="2"/>
  <c r="D310" i="2"/>
  <c r="B310" i="2"/>
  <c r="D309" i="2"/>
  <c r="B309" i="2"/>
  <c r="D308" i="2"/>
  <c r="B302" i="2"/>
  <c r="B301" i="2"/>
  <c r="B296" i="2"/>
  <c r="D294" i="2"/>
  <c r="D293" i="2"/>
  <c r="B293" i="2"/>
  <c r="D292" i="2"/>
  <c r="B292" i="2"/>
  <c r="D290" i="2"/>
  <c r="B290" i="2"/>
  <c r="B289" i="2"/>
  <c r="D288" i="2"/>
  <c r="B288" i="2"/>
  <c r="D287" i="2"/>
  <c r="B287" i="2"/>
  <c r="D286" i="2"/>
  <c r="B280" i="2"/>
  <c r="B279" i="2"/>
  <c r="B274" i="2"/>
  <c r="B278" i="2" s="1"/>
  <c r="B273" i="2"/>
  <c r="B276" i="2" s="1"/>
  <c r="D272" i="2"/>
  <c r="D271" i="2"/>
  <c r="B271" i="2"/>
  <c r="D270" i="2"/>
  <c r="B270" i="2"/>
  <c r="D268" i="2"/>
  <c r="B268" i="2"/>
  <c r="B267" i="2"/>
  <c r="D266" i="2"/>
  <c r="B266" i="2"/>
  <c r="D265" i="2"/>
  <c r="B265" i="2"/>
  <c r="D264" i="2"/>
  <c r="B258" i="2"/>
  <c r="B257" i="2"/>
  <c r="B253" i="2"/>
  <c r="B252" i="2"/>
  <c r="D250" i="2"/>
  <c r="D249" i="2"/>
  <c r="B249" i="2"/>
  <c r="D248" i="2"/>
  <c r="B248" i="2"/>
  <c r="D246" i="2"/>
  <c r="B246" i="2"/>
  <c r="B245" i="2"/>
  <c r="D244" i="2"/>
  <c r="B244" i="2"/>
  <c r="D243" i="2"/>
  <c r="B243" i="2"/>
  <c r="B236" i="2"/>
  <c r="B235" i="2"/>
  <c r="B230" i="2"/>
  <c r="B234" i="2" s="1"/>
  <c r="B237" i="2" s="1"/>
  <c r="B229" i="2"/>
  <c r="B232" i="2" s="1"/>
  <c r="B238" i="2" s="1"/>
  <c r="D228" i="2"/>
  <c r="D227" i="2"/>
  <c r="B227" i="2"/>
  <c r="D226" i="2"/>
  <c r="B226" i="2"/>
  <c r="D224" i="2"/>
  <c r="B224" i="2"/>
  <c r="B223" i="2"/>
  <c r="D222" i="2"/>
  <c r="B222" i="2"/>
  <c r="D221" i="2"/>
  <c r="B221" i="2"/>
  <c r="B214" i="2"/>
  <c r="B213" i="2"/>
  <c r="B208" i="2"/>
  <c r="B212" i="2" s="1"/>
  <c r="B215" i="2" s="1"/>
  <c r="B210" i="2"/>
  <c r="B216" i="2" s="1"/>
  <c r="D206" i="2"/>
  <c r="D205" i="2"/>
  <c r="B205" i="2"/>
  <c r="D204" i="2"/>
  <c r="B204" i="2"/>
  <c r="D202" i="2"/>
  <c r="B202" i="2"/>
  <c r="B201" i="2"/>
  <c r="D200" i="2"/>
  <c r="B200" i="2"/>
  <c r="D199" i="2"/>
  <c r="B199" i="2"/>
  <c r="B192" i="2"/>
  <c r="B191" i="2"/>
  <c r="B187" i="2"/>
  <c r="B186" i="2"/>
  <c r="B190" i="2" s="1"/>
  <c r="B193" i="2" s="1"/>
  <c r="D184" i="2"/>
  <c r="D183" i="2"/>
  <c r="B183" i="2"/>
  <c r="D182" i="2"/>
  <c r="B182" i="2"/>
  <c r="B184" i="2" s="1"/>
  <c r="D180" i="2"/>
  <c r="B180" i="2"/>
  <c r="B179" i="2"/>
  <c r="D178" i="2"/>
  <c r="B178" i="2"/>
  <c r="D177" i="2"/>
  <c r="B177" i="2"/>
  <c r="B170" i="2"/>
  <c r="B169" i="2"/>
  <c r="B164" i="2"/>
  <c r="B168" i="2" s="1"/>
  <c r="B171" i="2" s="1"/>
  <c r="D162" i="2"/>
  <c r="D161" i="2"/>
  <c r="B161" i="2"/>
  <c r="D160" i="2"/>
  <c r="B160" i="2"/>
  <c r="B162" i="2" s="1"/>
  <c r="D158" i="2"/>
  <c r="B158" i="2"/>
  <c r="B157" i="2"/>
  <c r="D156" i="2"/>
  <c r="B156" i="2"/>
  <c r="D155" i="2"/>
  <c r="B155" i="2"/>
  <c r="B148" i="2"/>
  <c r="B147" i="2"/>
  <c r="B142" i="2"/>
  <c r="B146" i="2" s="1"/>
  <c r="B149" i="2" s="1"/>
  <c r="D140" i="2"/>
  <c r="D139" i="2"/>
  <c r="B139" i="2"/>
  <c r="D138" i="2"/>
  <c r="B138" i="2"/>
  <c r="B140" i="2" s="1"/>
  <c r="D136" i="2"/>
  <c r="B136" i="2"/>
  <c r="B135" i="2"/>
  <c r="D134" i="2"/>
  <c r="B134" i="2"/>
  <c r="D133" i="2"/>
  <c r="B133" i="2"/>
  <c r="B126" i="2"/>
  <c r="B125" i="2"/>
  <c r="B121" i="2"/>
  <c r="C120" i="2"/>
  <c r="C142" i="2" s="1"/>
  <c r="C164" i="2" s="1"/>
  <c r="C186" i="2" s="1"/>
  <c r="C208" i="2" s="1"/>
  <c r="C230" i="2" s="1"/>
  <c r="C252" i="2" s="1"/>
  <c r="C274" i="2" s="1"/>
  <c r="C296" i="2" s="1"/>
  <c r="C318" i="2" s="1"/>
  <c r="C340" i="2" s="1"/>
  <c r="C362" i="2" s="1"/>
  <c r="C384" i="2" s="1"/>
  <c r="C560" i="2" s="1"/>
  <c r="B120" i="2"/>
  <c r="B124" i="2" s="1"/>
  <c r="D118" i="2"/>
  <c r="D117" i="2"/>
  <c r="B117" i="2"/>
  <c r="D116" i="2"/>
  <c r="B116" i="2"/>
  <c r="B118" i="2" s="1"/>
  <c r="D114" i="2"/>
  <c r="B114" i="2"/>
  <c r="B113" i="2"/>
  <c r="D112" i="2"/>
  <c r="B112" i="2"/>
  <c r="D111" i="2"/>
  <c r="B111" i="2"/>
  <c r="B104" i="2"/>
  <c r="B103" i="2"/>
  <c r="B99" i="2"/>
  <c r="B98" i="2"/>
  <c r="B102" i="2" s="1"/>
  <c r="D96" i="2"/>
  <c r="D95" i="2"/>
  <c r="B95" i="2"/>
  <c r="D94" i="2"/>
  <c r="D97" i="2" s="1"/>
  <c r="B94" i="2"/>
  <c r="B96" i="2" s="1"/>
  <c r="D92" i="2"/>
  <c r="B92" i="2"/>
  <c r="B91" i="2"/>
  <c r="D90" i="2"/>
  <c r="B90" i="2"/>
  <c r="D89" i="2"/>
  <c r="B89" i="2"/>
  <c r="B82" i="2"/>
  <c r="B81" i="2"/>
  <c r="B76" i="2"/>
  <c r="B80" i="2" s="1"/>
  <c r="D74" i="2"/>
  <c r="D73" i="2"/>
  <c r="B73" i="2"/>
  <c r="D72" i="2"/>
  <c r="D75" i="2" s="1"/>
  <c r="B72" i="2"/>
  <c r="D70" i="2"/>
  <c r="B70" i="2"/>
  <c r="B69" i="2"/>
  <c r="D68" i="2"/>
  <c r="B68" i="2"/>
  <c r="D67" i="2"/>
  <c r="B67" i="2"/>
  <c r="D66" i="2"/>
  <c r="B60" i="2"/>
  <c r="B59" i="2"/>
  <c r="B55" i="2"/>
  <c r="B54" i="2"/>
  <c r="B58" i="2" s="1"/>
  <c r="D52" i="2"/>
  <c r="D51" i="2"/>
  <c r="B51" i="2"/>
  <c r="D50" i="2"/>
  <c r="D53" i="2" s="1"/>
  <c r="B50" i="2"/>
  <c r="B52" i="2" s="1"/>
  <c r="D48" i="2"/>
  <c r="B48" i="2"/>
  <c r="D47" i="2"/>
  <c r="B47" i="2"/>
  <c r="D46" i="2"/>
  <c r="B46" i="2"/>
  <c r="D45" i="2"/>
  <c r="B45" i="2"/>
  <c r="B39" i="2"/>
  <c r="B37" i="2"/>
  <c r="B40" i="2" s="1"/>
  <c r="B34" i="2"/>
  <c r="D31" i="2"/>
  <c r="D30" i="2"/>
  <c r="B30" i="2"/>
  <c r="D29" i="2"/>
  <c r="B29" i="2"/>
  <c r="B27" i="2"/>
  <c r="B26" i="2"/>
  <c r="D25" i="2"/>
  <c r="B25" i="2"/>
  <c r="D24" i="2"/>
  <c r="B24" i="2"/>
  <c r="B17" i="2"/>
  <c r="B15" i="2"/>
  <c r="B12" i="2"/>
  <c r="D9" i="2"/>
  <c r="D8" i="2"/>
  <c r="B8" i="2"/>
  <c r="D7" i="2"/>
  <c r="B9" i="2"/>
  <c r="D4" i="2"/>
  <c r="B4" i="2"/>
  <c r="D3" i="2"/>
  <c r="B3" i="2"/>
  <c r="B2" i="2"/>
  <c r="B568" i="2" l="1"/>
  <c r="D559" i="2"/>
  <c r="B272" i="2"/>
  <c r="B105" i="2"/>
  <c r="B601" i="2"/>
  <c r="D493" i="2"/>
  <c r="B61" i="2"/>
  <c r="B457" i="2"/>
  <c r="B458" i="2" s="1"/>
  <c r="B514" i="2"/>
  <c r="B18" i="2"/>
  <c r="B19" i="2" s="1"/>
  <c r="B78" i="2"/>
  <c r="B100" i="2"/>
  <c r="B106" i="2" s="1"/>
  <c r="D229" i="2"/>
  <c r="D251" i="2"/>
  <c r="B474" i="2"/>
  <c r="B480" i="2" s="1"/>
  <c r="B281" i="2"/>
  <c r="B282" i="2" s="1"/>
  <c r="D383" i="2"/>
  <c r="B404" i="2"/>
  <c r="B545" i="2"/>
  <c r="B584" i="2"/>
  <c r="B605" i="2"/>
  <c r="B31" i="2"/>
  <c r="B320" i="2"/>
  <c r="B326" i="2" s="1"/>
  <c r="D405" i="2"/>
  <c r="B426" i="2"/>
  <c r="B589" i="2"/>
  <c r="B610" i="2"/>
  <c r="D427" i="2"/>
  <c r="B479" i="2"/>
  <c r="B127" i="2"/>
  <c r="D207" i="2"/>
  <c r="D273" i="2"/>
  <c r="B294" i="2"/>
  <c r="D537" i="2"/>
  <c r="B540" i="2"/>
  <c r="B122" i="2"/>
  <c r="B144" i="2"/>
  <c r="B150" i="2" s="1"/>
  <c r="B166" i="2"/>
  <c r="B172" i="2" s="1"/>
  <c r="B188" i="2"/>
  <c r="B194" i="2" s="1"/>
  <c r="D295" i="2"/>
  <c r="B316" i="2"/>
  <c r="B501" i="2"/>
  <c r="B35" i="2"/>
  <c r="B41" i="2" s="1"/>
  <c r="D361" i="2"/>
  <c r="B382" i="2"/>
  <c r="B496" i="2"/>
  <c r="B502" i="2" s="1"/>
  <c r="B536" i="2"/>
  <c r="D163" i="2"/>
  <c r="B580" i="2"/>
  <c r="B74" i="2"/>
  <c r="D515" i="2"/>
  <c r="B56" i="2"/>
  <c r="B523" i="2"/>
  <c r="B524" i="2" s="1"/>
  <c r="B83" i="2"/>
  <c r="D141" i="2"/>
  <c r="D185" i="2"/>
  <c r="B206" i="2"/>
  <c r="B369" i="2"/>
  <c r="B370" i="2" s="1"/>
  <c r="D119" i="2"/>
  <c r="B228" i="2"/>
  <c r="B250" i="2"/>
  <c r="B448" i="2"/>
  <c r="C406" i="2"/>
  <c r="C428" i="2" s="1"/>
  <c r="C450" i="2" s="1"/>
  <c r="C472" i="2" s="1"/>
  <c r="C494" i="2" s="1"/>
  <c r="C516" i="2" s="1"/>
  <c r="C538" i="2" s="1"/>
  <c r="C603" i="2"/>
  <c r="B432" i="2"/>
  <c r="B435" i="2" s="1"/>
  <c r="B430" i="2"/>
  <c r="B300" i="2"/>
  <c r="B303" i="2" s="1"/>
  <c r="B298" i="2"/>
  <c r="B304" i="2" s="1"/>
  <c r="D617" i="2"/>
  <c r="F617" i="2" s="1"/>
  <c r="D10" i="2"/>
  <c r="B256" i="2"/>
  <c r="B259" i="2" s="1"/>
  <c r="B254" i="2"/>
  <c r="B388" i="2"/>
  <c r="B391" i="2" s="1"/>
  <c r="B386" i="2"/>
  <c r="B392" i="2" s="1"/>
  <c r="D616" i="2"/>
  <c r="F616" i="2" s="1"/>
  <c r="D32" i="2"/>
  <c r="B344" i="2"/>
  <c r="B347" i="2" s="1"/>
  <c r="B342" i="2"/>
  <c r="B348" i="2" s="1"/>
  <c r="D618" i="2"/>
  <c r="F618" i="2" s="1"/>
  <c r="B611" i="2" l="1"/>
  <c r="B436" i="2"/>
  <c r="B260" i="2"/>
  <c r="B84" i="2"/>
  <c r="B62" i="2"/>
  <c r="B128" i="2"/>
  <c r="B546" i="2"/>
  <c r="B590" i="2"/>
  <c r="B616" i="2" l="1"/>
</calcChain>
</file>

<file path=xl/sharedStrings.xml><?xml version="1.0" encoding="utf-8"?>
<sst xmlns="http://schemas.openxmlformats.org/spreadsheetml/2006/main" count="977" uniqueCount="86">
  <si>
    <t>EMPLOYEE INFORMATION</t>
  </si>
  <si>
    <t>Employee Name</t>
  </si>
  <si>
    <t>Account Number</t>
  </si>
  <si>
    <t>04700501214837</t>
  </si>
  <si>
    <t>Designation</t>
  </si>
  <si>
    <t>Bank Name</t>
  </si>
  <si>
    <t>PAN</t>
  </si>
  <si>
    <t>Branch</t>
  </si>
  <si>
    <t>Contact Number</t>
  </si>
  <si>
    <t>SALARY DETAILS</t>
  </si>
  <si>
    <t>ANNUAL DETAILS</t>
  </si>
  <si>
    <t>Basic Salary</t>
  </si>
  <si>
    <t>Annual Taxable Salary</t>
  </si>
  <si>
    <t>Allowances</t>
  </si>
  <si>
    <t>Annual SSF deposit</t>
  </si>
  <si>
    <t>Gross Salary</t>
  </si>
  <si>
    <t>Annual TDS Payment</t>
  </si>
  <si>
    <t>Gross Salary as per working hours</t>
  </si>
  <si>
    <t>Annual Net Salary</t>
  </si>
  <si>
    <t xml:space="preserve">SSF Contribution by Employer </t>
  </si>
  <si>
    <t xml:space="preserve">*Here, "Annual" denotes the financial year from July 17, 2025 to May 31, 2026. </t>
  </si>
  <si>
    <t>Bonus</t>
  </si>
  <si>
    <t>Total</t>
  </si>
  <si>
    <t>Deductions:</t>
  </si>
  <si>
    <t>SSF Contribution by Employee</t>
  </si>
  <si>
    <t>PAYMENT DETAILS</t>
  </si>
  <si>
    <t>TDS for the month</t>
  </si>
  <si>
    <t>Month</t>
  </si>
  <si>
    <t>Total Deduction</t>
  </si>
  <si>
    <t>Method</t>
  </si>
  <si>
    <t>Bank Transfer</t>
  </si>
  <si>
    <t>Net Salary Paid</t>
  </si>
  <si>
    <t>Employee ID</t>
  </si>
  <si>
    <t>21</t>
  </si>
  <si>
    <t>04700501208203</t>
  </si>
  <si>
    <t>Marital Status</t>
  </si>
  <si>
    <t>06</t>
  </si>
  <si>
    <t>11</t>
  </si>
  <si>
    <t>07500501203775</t>
  </si>
  <si>
    <t/>
  </si>
  <si>
    <t>17</t>
  </si>
  <si>
    <t>00100501229860</t>
  </si>
  <si>
    <t>18</t>
  </si>
  <si>
    <t>08100501201170</t>
  </si>
  <si>
    <t>19</t>
  </si>
  <si>
    <t>03400501209513</t>
  </si>
  <si>
    <t>20</t>
  </si>
  <si>
    <t>08100501201191</t>
  </si>
  <si>
    <t>23</t>
  </si>
  <si>
    <t>02000504200242</t>
  </si>
  <si>
    <t>26</t>
  </si>
  <si>
    <t>02000501216923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</si>
  <si>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</si>
  <si>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</si>
  <si>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</si>
  <si>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</si>
  <si>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</si>
  <si>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</si>
  <si>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</si>
  <si>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</si>
  <si>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</si>
  <si>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</si>
  <si>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</si>
  <si>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22</t>
  </si>
  <si>
    <t>03500501206641</t>
  </si>
  <si>
    <t>15</t>
  </si>
  <si>
    <t>08100501201124</t>
  </si>
  <si>
    <t xml:space="preserve">*Here, "Annual" denotes the financial year from July 17, 2025 to November 30, 2025. </t>
  </si>
  <si>
    <t>November 2025</t>
  </si>
  <si>
    <t xml:space="preserve"> </t>
  </si>
  <si>
    <t>04700501216785</t>
  </si>
  <si>
    <t>Office Administrator</t>
  </si>
  <si>
    <t>Rajbiraj</t>
  </si>
  <si>
    <t>Particulars</t>
  </si>
  <si>
    <t>Payslip annual</t>
  </si>
  <si>
    <t xml:space="preserve">Annual Sheet </t>
  </si>
  <si>
    <t>Diff.</t>
  </si>
  <si>
    <t>Net Salary</t>
  </si>
  <si>
    <t xml:space="preserve">Annual Taxble </t>
  </si>
  <si>
    <t xml:space="preserve">SSF </t>
  </si>
  <si>
    <t>TDS</t>
  </si>
  <si>
    <t>29</t>
  </si>
  <si>
    <t>25</t>
  </si>
  <si>
    <t>01200501211978</t>
  </si>
  <si>
    <t>January 2026</t>
  </si>
  <si>
    <t>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</si>
</sst>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Rs.-849]\ #,##0.00;[Red][$Rs.-849]\ #,##0.00"/>
    <numFmt numFmtId="165" formatCode="[$Rs.-849]\ #,##0.00"/>
    <numFmt numFmtId="166" formatCode="[$Rs.-849]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201F1E"/>
      <name val="Calibri"/>
      <family val="2"/>
      <scheme val="minor"/>
    </font>
    <font>
      <sz val="10"/>
      <color rgb="FF444444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CE4D6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4">
    <xf numFmtId="0" fontId="0" fillId="0" borderId="0" xfId="0"/>
    <xf numFmtId="0" fontId="4" fillId="0" borderId="1" xfId="0" applyFont="1" applyBorder="1"/>
    <xf numFmtId="43" fontId="0" fillId="0" borderId="0" xfId="1" applyFont="1"/>
    <xf numFmtId="0" fontId="3" fillId="0" borderId="1" xfId="0" applyFont="1" applyBorder="1"/>
    <xf numFmtId="0" fontId="5" fillId="0" borderId="1" xfId="0" applyFont="1" applyBorder="1" applyAlignment="1">
      <alignment horizontal="left"/>
    </xf>
    <xf numFmtId="0" fontId="4" fillId="0" borderId="1" xfId="0" quotePrefix="1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/>
    <xf numFmtId="164" fontId="5" fillId="0" borderId="1" xfId="0" applyNumberFormat="1" applyFont="1" applyBorder="1"/>
    <xf numFmtId="164" fontId="3" fillId="0" borderId="1" xfId="0" applyNumberFormat="1" applyFont="1" applyBorder="1"/>
    <xf numFmtId="0" fontId="5" fillId="0" borderId="1" xfId="0" applyFont="1" applyBorder="1" applyAlignment="1">
      <alignment wrapText="1"/>
    </xf>
    <xf numFmtId="17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3" fillId="3" borderId="1" xfId="0" applyFont="1" applyFill="1" applyBorder="1"/>
    <xf numFmtId="164" fontId="3" fillId="3" borderId="1" xfId="0" applyNumberFormat="1" applyFont="1" applyFill="1" applyBorder="1"/>
    <xf numFmtId="0" fontId="3" fillId="4" borderId="1" xfId="0" applyFont="1" applyFill="1" applyBorder="1"/>
    <xf numFmtId="165" fontId="3" fillId="4" borderId="1" xfId="0" applyNumberFormat="1" applyFont="1" applyFill="1" applyBorder="1" applyAlignment="1">
      <alignment horizontal="right"/>
    </xf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 applyAlignment="1">
      <alignment horizontal="right"/>
    </xf>
    <xf numFmtId="0" fontId="3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0" fontId="4" fillId="0" borderId="1" xfId="0" quotePrefix="1" applyFont="1" applyBorder="1"/>
    <xf numFmtId="0" fontId="7" fillId="0" borderId="1" xfId="0" applyFont="1" applyBorder="1"/>
    <xf numFmtId="0" fontId="5" fillId="0" borderId="0" xfId="0" applyFont="1"/>
    <xf numFmtId="165" fontId="5" fillId="0" borderId="1" xfId="0" applyNumberFormat="1" applyFont="1" applyBorder="1"/>
    <xf numFmtId="165" fontId="3" fillId="0" borderId="1" xfId="0" applyNumberFormat="1" applyFont="1" applyBorder="1"/>
    <xf numFmtId="165" fontId="3" fillId="3" borderId="1" xfId="0" applyNumberFormat="1" applyFont="1" applyFill="1" applyBorder="1"/>
    <xf numFmtId="0" fontId="4" fillId="0" borderId="1" xfId="0" quotePrefix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166" fontId="0" fillId="0" borderId="0" xfId="0" applyNumberFormat="1"/>
    <xf numFmtId="43" fontId="0" fillId="0" borderId="0" xfId="1" quotePrefix="1" applyFont="1"/>
    <xf numFmtId="0" fontId="4" fillId="0" borderId="2" xfId="0" quotePrefix="1" applyFont="1" applyBorder="1"/>
    <xf numFmtId="49" fontId="8" fillId="0" borderId="1" xfId="0" applyNumberFormat="1" applyFont="1" applyBorder="1"/>
    <xf numFmtId="0" fontId="9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right"/>
    </xf>
    <xf numFmtId="0" fontId="6" fillId="0" borderId="2" xfId="0" quotePrefix="1" applyFont="1" applyBorder="1" applyAlignment="1">
      <alignment horizontal="left"/>
    </xf>
    <xf numFmtId="165" fontId="3" fillId="0" borderId="0" xfId="0" applyNumberFormat="1" applyFont="1"/>
    <xf numFmtId="1" fontId="6" fillId="0" borderId="2" xfId="0" quotePrefix="1" applyNumberFormat="1" applyFont="1" applyBorder="1" applyAlignment="1">
      <alignment horizontal="left"/>
    </xf>
    <xf numFmtId="1" fontId="5" fillId="0" borderId="1" xfId="0" applyNumberFormat="1" applyFont="1" applyBorder="1" applyAlignment="1">
      <alignment horizontal="left"/>
    </xf>
    <xf numFmtId="43" fontId="0" fillId="0" borderId="0" xfId="1" applyFont="1" applyFill="1"/>
    <xf numFmtId="0" fontId="10" fillId="0" borderId="1" xfId="0" applyFont="1" applyBorder="1"/>
    <xf numFmtId="0" fontId="2" fillId="0" borderId="9" xfId="0" applyFont="1" applyBorder="1" applyAlignment="1">
      <alignment horizontal="center" vertical="center"/>
    </xf>
    <xf numFmtId="166" fontId="2" fillId="0" borderId="9" xfId="0" applyNumberFormat="1" applyFont="1" applyBorder="1" applyAlignment="1">
      <alignment horizontal="center" vertical="center"/>
    </xf>
    <xf numFmtId="43" fontId="2" fillId="0" borderId="9" xfId="1" applyFont="1" applyBorder="1" applyAlignment="1">
      <alignment horizontal="center" vertical="center"/>
    </xf>
    <xf numFmtId="0" fontId="2" fillId="0" borderId="0" xfId="0" applyFont="1"/>
    <xf numFmtId="0" fontId="2" fillId="0" borderId="9" xfId="0" applyFont="1" applyBorder="1"/>
    <xf numFmtId="166" fontId="0" fillId="0" borderId="9" xfId="0" applyNumberFormat="1" applyBorder="1"/>
    <xf numFmtId="43" fontId="0" fillId="0" borderId="9" xfId="1" applyFont="1" applyBorder="1"/>
    <xf numFmtId="43" fontId="0" fillId="0" borderId="0" xfId="0" applyNumberFormat="1"/>
    <xf numFmtId="0" fontId="3" fillId="2" borderId="1" xfId="0" applyFont="1" applyFill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3" fillId="0" borderId="1" xfId="0" applyFont="1" applyBorder="1"/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6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akashTated\Desktop\Draft_%20salary%20sheet_May_2082_83.xlsx" TargetMode="External"/><Relationship Id="rId1" Type="http://schemas.openxmlformats.org/officeDocument/2006/relationships/externalLinkPath" Target="Draft_%20salary%20sheet_May_2082_8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yslip May"/>
      <sheetName val="Payslip March"/>
      <sheetName val="Payslip Jan"/>
      <sheetName val="Payslip Dec"/>
      <sheetName val="Salary Letter"/>
      <sheetName val="Payslip Nov"/>
      <sheetName val="Payslip"/>
      <sheetName val="Payslip old"/>
      <sheetName val="Payslip July end"/>
      <sheetName val="July 25"/>
      <sheetName val="Aug"/>
      <sheetName val="Sheet1"/>
      <sheetName val="Oct"/>
      <sheetName val="Sep"/>
      <sheetName val="Jan"/>
      <sheetName val="March"/>
      <sheetName val="Payslip July"/>
      <sheetName val="Nov"/>
      <sheetName val="April"/>
      <sheetName val="May"/>
      <sheetName val="Mid July"/>
      <sheetName val="June"/>
      <sheetName val="Dec"/>
      <sheetName val="Feb"/>
      <sheetName val="Yearly sheet_Assumed"/>
      <sheetName val="Yearly sheet"/>
      <sheetName val="Sheet2"/>
      <sheetName val="Total Sal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2">
          <cell r="T22">
            <v>0</v>
          </cell>
        </row>
      </sheetData>
      <sheetData sheetId="14">
        <row r="22">
          <cell r="A22" t="str">
            <v>Prem Raj Pandey</v>
          </cell>
        </row>
      </sheetData>
      <sheetData sheetId="15"/>
      <sheetData sheetId="16"/>
      <sheetData sheetId="17">
        <row r="23">
          <cell r="E23">
            <v>0</v>
          </cell>
          <cell r="G23">
            <v>0</v>
          </cell>
          <cell r="I23">
            <v>0</v>
          </cell>
        </row>
      </sheetData>
      <sheetData sheetId="18"/>
      <sheetData sheetId="19">
        <row r="3">
          <cell r="E3">
            <v>100000</v>
          </cell>
          <cell r="T3">
            <v>12184.788</v>
          </cell>
        </row>
        <row r="4">
          <cell r="T4">
            <v>13538.653333333326</v>
          </cell>
        </row>
        <row r="5">
          <cell r="G5">
            <v>21000</v>
          </cell>
          <cell r="I5">
            <v>11550</v>
          </cell>
          <cell r="T5">
            <v>38244.171428571433</v>
          </cell>
        </row>
        <row r="6">
          <cell r="G6">
            <v>27940.38</v>
          </cell>
          <cell r="I6">
            <v>15367.208999999999</v>
          </cell>
          <cell r="T6">
            <v>42387.728368207812</v>
          </cell>
        </row>
        <row r="7">
          <cell r="G7">
            <v>34330.200000000004</v>
          </cell>
          <cell r="I7">
            <v>18881.61</v>
          </cell>
          <cell r="T7">
            <v>63323.5230987143</v>
          </cell>
        </row>
        <row r="8">
          <cell r="G8">
            <v>24606</v>
          </cell>
          <cell r="I8">
            <v>13533.3</v>
          </cell>
          <cell r="T8">
            <v>36228.161515757522</v>
          </cell>
        </row>
        <row r="9">
          <cell r="G9">
            <v>13972.2</v>
          </cell>
          <cell r="I9">
            <v>7684.71</v>
          </cell>
          <cell r="T9">
            <v>13566.403960606054</v>
          </cell>
        </row>
        <row r="10">
          <cell r="G10">
            <v>13972.2</v>
          </cell>
          <cell r="I10">
            <v>7684.71</v>
          </cell>
          <cell r="T10">
            <v>15728.567066666659</v>
          </cell>
        </row>
        <row r="11">
          <cell r="G11">
            <v>14650.800000000001</v>
          </cell>
          <cell r="I11">
            <v>8057.94</v>
          </cell>
          <cell r="T11">
            <v>5435.4917666666324</v>
          </cell>
        </row>
        <row r="12">
          <cell r="G12">
            <v>6474</v>
          </cell>
          <cell r="I12">
            <v>3560.7</v>
          </cell>
          <cell r="T12">
            <v>1164.0843939393933</v>
          </cell>
        </row>
        <row r="14">
          <cell r="G14">
            <v>12240</v>
          </cell>
          <cell r="I14">
            <v>6732</v>
          </cell>
          <cell r="T14">
            <v>10400.440856493518</v>
          </cell>
        </row>
        <row r="15">
          <cell r="E15">
            <v>0</v>
          </cell>
          <cell r="G15">
            <v>0</v>
          </cell>
          <cell r="I15">
            <v>0</v>
          </cell>
          <cell r="T15">
            <v>0</v>
          </cell>
        </row>
        <row r="16">
          <cell r="G16">
            <v>18782.400000000001</v>
          </cell>
          <cell r="I16">
            <v>10330.32</v>
          </cell>
          <cell r="T16">
            <v>15118.056842105265</v>
          </cell>
        </row>
        <row r="17">
          <cell r="G17">
            <v>15007.2</v>
          </cell>
          <cell r="I17">
            <v>8253.9600000000009</v>
          </cell>
          <cell r="T17">
            <v>9146.4555294117654</v>
          </cell>
        </row>
        <row r="18">
          <cell r="G18">
            <v>15865.2</v>
          </cell>
          <cell r="I18">
            <v>8725.86</v>
          </cell>
          <cell r="T18">
            <v>5256.3825882352949</v>
          </cell>
        </row>
        <row r="19">
          <cell r="G19">
            <v>23587.199999999997</v>
          </cell>
          <cell r="I19">
            <v>12972.96</v>
          </cell>
          <cell r="T19">
            <v>28964.824470588239</v>
          </cell>
        </row>
        <row r="20">
          <cell r="G20">
            <v>10764</v>
          </cell>
          <cell r="I20">
            <v>5920.2</v>
          </cell>
          <cell r="T20">
            <v>2115.8267058823535</v>
          </cell>
        </row>
        <row r="21">
          <cell r="A21" t="str">
            <v xml:space="preserve">	Gyanendra Paudel</v>
          </cell>
          <cell r="G21">
            <v>10732.800000000001</v>
          </cell>
          <cell r="I21">
            <v>5903.04</v>
          </cell>
          <cell r="T21">
            <v>507.39547107438045</v>
          </cell>
        </row>
        <row r="22">
          <cell r="G22">
            <v>21996</v>
          </cell>
          <cell r="I22">
            <v>12097.8</v>
          </cell>
          <cell r="T22">
            <v>10957.902479338838</v>
          </cell>
        </row>
        <row r="23">
          <cell r="G23">
            <v>12916.800000000001</v>
          </cell>
          <cell r="I23">
            <v>7104.24</v>
          </cell>
          <cell r="T23">
            <v>898.08290909091011</v>
          </cell>
        </row>
        <row r="24">
          <cell r="A24" t="str">
            <v>Pramesh Adhikari</v>
          </cell>
          <cell r="G24">
            <v>25724.400000000001</v>
          </cell>
          <cell r="I24">
            <v>14148.42</v>
          </cell>
          <cell r="T24">
            <v>19680.608</v>
          </cell>
        </row>
        <row r="25">
          <cell r="G25">
            <v>19312.8</v>
          </cell>
          <cell r="I25">
            <v>10622.04</v>
          </cell>
          <cell r="T25">
            <v>6685.755272727275</v>
          </cell>
        </row>
        <row r="26">
          <cell r="G26">
            <v>19312.8</v>
          </cell>
          <cell r="I26">
            <v>10622.04</v>
          </cell>
          <cell r="T26">
            <v>5851.1502222222243</v>
          </cell>
        </row>
        <row r="27">
          <cell r="G27">
            <v>12916.800000000001</v>
          </cell>
          <cell r="I27">
            <v>7104.24</v>
          </cell>
          <cell r="T27">
            <v>0</v>
          </cell>
        </row>
        <row r="29">
          <cell r="G29">
            <v>19620</v>
          </cell>
          <cell r="I29">
            <v>10791</v>
          </cell>
          <cell r="T29">
            <v>25554.49838158847</v>
          </cell>
        </row>
        <row r="31">
          <cell r="F31">
            <v>18200</v>
          </cell>
          <cell r="G31">
            <v>4096.2816000000003</v>
          </cell>
          <cell r="I31">
            <v>2252.9548799999998</v>
          </cell>
          <cell r="T31">
            <v>0</v>
          </cell>
        </row>
      </sheetData>
      <sheetData sheetId="20"/>
      <sheetData sheetId="21"/>
      <sheetData sheetId="22">
        <row r="13">
          <cell r="E13">
            <v>67847</v>
          </cell>
          <cell r="G13">
            <v>8141.6399999999994</v>
          </cell>
          <cell r="I13">
            <v>4477.902</v>
          </cell>
          <cell r="T13">
            <v>0</v>
          </cell>
        </row>
        <row r="20">
          <cell r="A20" t="str">
            <v>Binaya Sharma</v>
          </cell>
        </row>
      </sheetData>
      <sheetData sheetId="23">
        <row r="23">
          <cell r="A23" t="str">
            <v>Aakash Shakya</v>
          </cell>
        </row>
      </sheetData>
      <sheetData sheetId="24">
        <row r="15">
          <cell r="A15" t="str">
            <v>Sujan Gyawali</v>
          </cell>
          <cell r="C15">
            <v>9867182879</v>
          </cell>
          <cell r="D15" t="str">
            <v>Senior Databricks Data Engineer</v>
          </cell>
          <cell r="E15">
            <v>128267101</v>
          </cell>
          <cell r="F15" t="str">
            <v>Unmarried</v>
          </cell>
          <cell r="G15">
            <v>8100501201758</v>
          </cell>
          <cell r="H15" t="str">
            <v>Everest Bank Ltd.</v>
          </cell>
          <cell r="I15" t="str">
            <v>Gairidhara</v>
          </cell>
          <cell r="J15">
            <v>119964</v>
          </cell>
          <cell r="K15">
            <v>79976</v>
          </cell>
        </row>
        <row r="16">
          <cell r="A16" t="str">
            <v>Suranjan Rana Magar</v>
          </cell>
          <cell r="C16">
            <v>9849914436</v>
          </cell>
          <cell r="D16" t="str">
            <v>Data Engineer</v>
          </cell>
          <cell r="E16">
            <v>111806384</v>
          </cell>
          <cell r="F16" t="str">
            <v>Unmarried</v>
          </cell>
          <cell r="G16">
            <v>8100501201782</v>
          </cell>
          <cell r="H16" t="str">
            <v>Everest Bank Ltd.</v>
          </cell>
          <cell r="I16" t="str">
            <v>Gairidhara</v>
          </cell>
          <cell r="J16">
            <v>93912</v>
          </cell>
          <cell r="K16">
            <v>62608</v>
          </cell>
        </row>
        <row r="17">
          <cell r="A17" t="str">
            <v>Saroj Pandey</v>
          </cell>
          <cell r="F17" t="str">
            <v>Unmarried</v>
          </cell>
          <cell r="G17">
            <v>9800501202071</v>
          </cell>
          <cell r="H17" t="str">
            <v>Everest Bank Ltd.</v>
          </cell>
          <cell r="I17" t="str">
            <v>Rupandehi</v>
          </cell>
          <cell r="K17">
            <v>50024</v>
          </cell>
        </row>
        <row r="18">
          <cell r="A18" t="str">
            <v>Gaurav Singh Thagunna</v>
          </cell>
          <cell r="F18" t="str">
            <v>Married</v>
          </cell>
          <cell r="G18">
            <v>5900501203847</v>
          </cell>
          <cell r="H18" t="str">
            <v>Everest Bank Ltd.</v>
          </cell>
          <cell r="I18" t="str">
            <v>Mahendranagar</v>
          </cell>
          <cell r="K18">
            <v>52884</v>
          </cell>
        </row>
        <row r="19">
          <cell r="A19" t="str">
            <v>Deepen Upreti</v>
          </cell>
          <cell r="F19" t="str">
            <v>Unmarried</v>
          </cell>
          <cell r="G19">
            <v>1000527200994</v>
          </cell>
          <cell r="H19" t="str">
            <v>Everest Bank Ltd.</v>
          </cell>
          <cell r="I19" t="str">
            <v>Teku</v>
          </cell>
          <cell r="K19">
            <v>78624.000000000015</v>
          </cell>
        </row>
        <row r="20">
          <cell r="F20" t="str">
            <v>Unmarried</v>
          </cell>
          <cell r="G20">
            <v>8100501201815</v>
          </cell>
          <cell r="H20" t="str">
            <v>Everest Bank Ltd.</v>
          </cell>
          <cell r="I20" t="str">
            <v>Gairidhara</v>
          </cell>
          <cell r="K20">
            <v>35880</v>
          </cell>
        </row>
        <row r="21">
          <cell r="C21" t="str">
            <v xml:space="preserve">	981378584</v>
          </cell>
          <cell r="D21" t="str">
            <v>Data Engineer</v>
          </cell>
          <cell r="E21">
            <v>133827510</v>
          </cell>
          <cell r="F21" t="str">
            <v>Unmarried</v>
          </cell>
          <cell r="G21">
            <v>8100501201836</v>
          </cell>
          <cell r="H21" t="str">
            <v>Everest Bank Ltd.</v>
          </cell>
          <cell r="I21" t="str">
            <v>Naxal</v>
          </cell>
        </row>
        <row r="22">
          <cell r="C22">
            <v>9860186770</v>
          </cell>
          <cell r="D22" t="str">
            <v>Data Engineer</v>
          </cell>
          <cell r="E22">
            <v>109484024</v>
          </cell>
          <cell r="F22" t="str">
            <v>Married</v>
          </cell>
          <cell r="G22">
            <v>8200501205169</v>
          </cell>
          <cell r="H22" t="str">
            <v>Everest Bank Ltd.</v>
          </cell>
          <cell r="I22" t="str">
            <v xml:space="preserve">Jadibuti </v>
          </cell>
        </row>
        <row r="23">
          <cell r="C23">
            <v>9861887935</v>
          </cell>
          <cell r="D23" t="str">
            <v>GenAI Engineer</v>
          </cell>
          <cell r="E23">
            <v>138665470</v>
          </cell>
          <cell r="F23" t="str">
            <v>Unmarried</v>
          </cell>
          <cell r="J23">
            <v>64584</v>
          </cell>
          <cell r="K23">
            <v>43056</v>
          </cell>
        </row>
        <row r="24">
          <cell r="J24">
            <v>128622</v>
          </cell>
          <cell r="K24">
            <v>85748</v>
          </cell>
        </row>
        <row r="25">
          <cell r="J25">
            <v>96564</v>
          </cell>
          <cell r="K25">
            <v>64376</v>
          </cell>
        </row>
        <row r="27">
          <cell r="A27" t="str">
            <v>Joseph Rana</v>
          </cell>
          <cell r="D27" t="str">
            <v>Professional Software Developer</v>
          </cell>
          <cell r="F27" t="str">
            <v>Unmarried</v>
          </cell>
          <cell r="G27">
            <v>3200501213718</v>
          </cell>
          <cell r="H27" t="str">
            <v>Everest Bank Ltd.</v>
          </cell>
          <cell r="I27" t="str">
            <v>lagankhel</v>
          </cell>
        </row>
        <row r="30">
          <cell r="A30" t="str">
            <v>Princy Jaiswal</v>
          </cell>
          <cell r="C30">
            <v>9804826201</v>
          </cell>
          <cell r="D30" t="str">
            <v>Admin Assistant</v>
          </cell>
          <cell r="E30">
            <v>132028468</v>
          </cell>
          <cell r="F30" t="str">
            <v>Unmarried</v>
          </cell>
          <cell r="H30" t="str">
            <v>Everest Bank Ltd.</v>
          </cell>
          <cell r="I30" t="str">
            <v>Gairidhara</v>
          </cell>
          <cell r="J30">
            <v>15299.6</v>
          </cell>
          <cell r="K30">
            <v>10244.08</v>
          </cell>
        </row>
      </sheetData>
      <sheetData sheetId="25">
        <row r="3">
          <cell r="A3" t="str">
            <v>Shobha Gupta</v>
          </cell>
          <cell r="D3" t="str">
            <v>Founder</v>
          </cell>
          <cell r="E3">
            <v>129132721</v>
          </cell>
          <cell r="H3" t="str">
            <v>Everest Bank Ltd.</v>
          </cell>
          <cell r="I3" t="str">
            <v>Rajbiraj</v>
          </cell>
          <cell r="J3">
            <v>60000</v>
          </cell>
          <cell r="K3">
            <v>40000</v>
          </cell>
          <cell r="AO3">
            <v>1086383</v>
          </cell>
          <cell r="BB3">
            <v>0</v>
          </cell>
          <cell r="BZ3">
            <v>122046.228</v>
          </cell>
        </row>
        <row r="4">
          <cell r="A4" t="str">
            <v>Sushil Kumar Gupta</v>
          </cell>
          <cell r="C4">
            <v>9842832815</v>
          </cell>
          <cell r="D4" t="str">
            <v>Executive Assistant to the Founder</v>
          </cell>
          <cell r="E4">
            <v>103118189</v>
          </cell>
          <cell r="H4" t="str">
            <v>Everest Bank Ltd.</v>
          </cell>
          <cell r="I4" t="str">
            <v>Rajbiraj</v>
          </cell>
          <cell r="J4">
            <v>60000</v>
          </cell>
          <cell r="K4">
            <v>40000</v>
          </cell>
          <cell r="AO4">
            <v>1086383</v>
          </cell>
          <cell r="BZ4">
            <v>135606.92000000001</v>
          </cell>
        </row>
        <row r="5">
          <cell r="A5" t="str">
            <v>Anita KC</v>
          </cell>
          <cell r="C5">
            <v>9867062524</v>
          </cell>
          <cell r="D5" t="str">
            <v>Advisor</v>
          </cell>
          <cell r="E5">
            <v>133168080</v>
          </cell>
          <cell r="F5" t="str">
            <v>Married</v>
          </cell>
          <cell r="G5" t="str">
            <v>08100501201473</v>
          </cell>
          <cell r="H5" t="str">
            <v>Everest Bank Ltd.</v>
          </cell>
          <cell r="I5" t="str">
            <v>Gairidhara</v>
          </cell>
          <cell r="J5">
            <v>105000</v>
          </cell>
          <cell r="K5">
            <v>70000</v>
          </cell>
          <cell r="AO5">
            <v>2262700</v>
          </cell>
          <cell r="BB5">
            <v>325500</v>
          </cell>
          <cell r="BZ5">
            <v>314852.1428571429</v>
          </cell>
        </row>
        <row r="6">
          <cell r="A6" t="str">
            <v>Bindu Shrestha</v>
          </cell>
          <cell r="C6">
            <v>9840062832</v>
          </cell>
          <cell r="D6" t="str">
            <v>Senior Software Developer</v>
          </cell>
          <cell r="E6">
            <v>106564321</v>
          </cell>
          <cell r="F6" t="str">
            <v>Married</v>
          </cell>
          <cell r="G6" t="str">
            <v>04900501207266</v>
          </cell>
          <cell r="H6" t="str">
            <v>Everest Bank Ltd.</v>
          </cell>
          <cell r="I6" t="str">
            <v>Gulariya</v>
          </cell>
          <cell r="J6">
            <v>139701.9</v>
          </cell>
          <cell r="K6">
            <v>93134.6</v>
          </cell>
          <cell r="AO6">
            <v>2850850.1059999997</v>
          </cell>
          <cell r="BB6">
            <v>430910.51054999995</v>
          </cell>
          <cell r="BZ6">
            <v>486429.09103168827</v>
          </cell>
        </row>
        <row r="7">
          <cell r="A7" t="str">
            <v>Monika Shrestha</v>
          </cell>
          <cell r="C7">
            <v>9843206192</v>
          </cell>
          <cell r="D7" t="str">
            <v>Senior Software Developer</v>
          </cell>
          <cell r="E7">
            <v>106097250</v>
          </cell>
          <cell r="F7" t="str">
            <v>Married</v>
          </cell>
          <cell r="H7" t="str">
            <v>Everest Bank Ltd.</v>
          </cell>
          <cell r="I7" t="str">
            <v>Sitapaila</v>
          </cell>
          <cell r="J7">
            <v>171651</v>
          </cell>
          <cell r="K7">
            <v>114434</v>
          </cell>
          <cell r="AO7">
            <v>2939243.7337500001</v>
          </cell>
          <cell r="BB7">
            <v>442980.11099999998</v>
          </cell>
          <cell r="BZ7">
            <v>511138.64068692859</v>
          </cell>
        </row>
        <row r="8">
          <cell r="A8" t="str">
            <v>Niraj Shakya</v>
          </cell>
          <cell r="C8">
            <v>9802005193</v>
          </cell>
          <cell r="D8" t="str">
            <v>Professional Big Data DevOps Engineer</v>
          </cell>
          <cell r="E8">
            <v>102592139</v>
          </cell>
          <cell r="F8" t="str">
            <v>Married</v>
          </cell>
          <cell r="H8" t="str">
            <v>Everest Bank Ltd.</v>
          </cell>
          <cell r="I8" t="str">
            <v>Baneshwor</v>
          </cell>
          <cell r="J8">
            <v>123030</v>
          </cell>
          <cell r="K8">
            <v>82020</v>
          </cell>
          <cell r="AO8">
            <v>2069139.5062500001</v>
          </cell>
          <cell r="BB8">
            <v>308423.34000000003</v>
          </cell>
          <cell r="BZ8">
            <v>296098.60157636361</v>
          </cell>
        </row>
        <row r="9">
          <cell r="A9" t="str">
            <v>Saran Kumar Basnet</v>
          </cell>
          <cell r="C9">
            <v>9841761158</v>
          </cell>
          <cell r="D9" t="str">
            <v>Professional Big Data DevOps Engineer</v>
          </cell>
          <cell r="E9">
            <v>113932920</v>
          </cell>
          <cell r="F9" t="str">
            <v>Married</v>
          </cell>
          <cell r="H9" t="str">
            <v>Everest Bank Ltd.</v>
          </cell>
          <cell r="I9" t="str">
            <v>Gairidhara</v>
          </cell>
          <cell r="J9">
            <v>69861</v>
          </cell>
          <cell r="K9">
            <v>46574</v>
          </cell>
          <cell r="AO9">
            <v>1255718.8875</v>
          </cell>
          <cell r="BB9">
            <v>189224.31000000003</v>
          </cell>
          <cell r="BZ9">
            <v>97383.691309090907</v>
          </cell>
        </row>
        <row r="10">
          <cell r="A10" t="str">
            <v>Suraj Gupta</v>
          </cell>
          <cell r="C10">
            <v>9801504575</v>
          </cell>
          <cell r="D10" t="str">
            <v>Professional Software Developer</v>
          </cell>
          <cell r="E10">
            <v>126918429</v>
          </cell>
          <cell r="F10" t="str">
            <v>Unmarried</v>
          </cell>
          <cell r="H10" t="str">
            <v>Everest Bank Ltd.</v>
          </cell>
          <cell r="I10" t="str">
            <v>Maitedevi</v>
          </cell>
          <cell r="J10">
            <v>69861</v>
          </cell>
          <cell r="K10">
            <v>46574</v>
          </cell>
          <cell r="AO10">
            <v>1249525.2</v>
          </cell>
          <cell r="BB10">
            <v>189224.31000000003</v>
          </cell>
          <cell r="BZ10">
            <v>122282.3404</v>
          </cell>
        </row>
        <row r="11">
          <cell r="A11" t="str">
            <v>Basu Dev Adhikari</v>
          </cell>
          <cell r="C11">
            <v>9863374403</v>
          </cell>
          <cell r="D11" t="str">
            <v>Professional Software Developer</v>
          </cell>
          <cell r="E11">
            <v>136485133</v>
          </cell>
          <cell r="F11" t="str">
            <v>Married</v>
          </cell>
          <cell r="H11" t="str">
            <v>Everest Bank Ltd.</v>
          </cell>
          <cell r="I11" t="str">
            <v>Gairidhara</v>
          </cell>
          <cell r="J11">
            <v>73254</v>
          </cell>
          <cell r="K11">
            <v>48836</v>
          </cell>
          <cell r="AO11">
            <v>1257547.9875</v>
          </cell>
          <cell r="BB11">
            <v>190276.14</v>
          </cell>
          <cell r="BZ11">
            <v>112134.05259999998</v>
          </cell>
        </row>
        <row r="12">
          <cell r="A12" t="str">
            <v>Pravesh Shrestha</v>
          </cell>
          <cell r="C12">
            <v>9860176014</v>
          </cell>
          <cell r="D12" t="str">
            <v>Junior Big Data DevOps Engineer</v>
          </cell>
          <cell r="E12">
            <v>109502937</v>
          </cell>
          <cell r="F12" t="str">
            <v>Unmarried</v>
          </cell>
          <cell r="H12" t="str">
            <v>Everest Bank Ltd.</v>
          </cell>
          <cell r="I12" t="str">
            <v>Balaju</v>
          </cell>
          <cell r="J12">
            <v>32370</v>
          </cell>
          <cell r="K12">
            <v>21580</v>
          </cell>
          <cell r="AO12">
            <v>664798.875</v>
          </cell>
          <cell r="BB12">
            <v>100346.99999999999</v>
          </cell>
          <cell r="BZ12">
            <v>12079.420909090908</v>
          </cell>
        </row>
        <row r="13">
          <cell r="A13" t="str">
            <v>Isha Shrestha</v>
          </cell>
          <cell r="C13">
            <v>9818551254</v>
          </cell>
          <cell r="D13" t="str">
            <v>Junior Big Data DevOps Engineer</v>
          </cell>
          <cell r="E13">
            <v>113998704</v>
          </cell>
          <cell r="F13" t="str">
            <v>Unmarried</v>
          </cell>
          <cell r="H13" t="str">
            <v>Everest Bank Ltd.</v>
          </cell>
          <cell r="I13" t="str">
            <v>Pulchowk</v>
          </cell>
          <cell r="J13">
            <v>47892</v>
          </cell>
          <cell r="K13">
            <v>31928</v>
          </cell>
          <cell r="AO13">
            <v>521384.24</v>
          </cell>
          <cell r="BB13">
            <v>72005.622000000003</v>
          </cell>
          <cell r="BZ13">
            <v>23119.734514285719</v>
          </cell>
        </row>
        <row r="14">
          <cell r="A14" t="str">
            <v>Tejan Shrestha</v>
          </cell>
          <cell r="C14">
            <v>9818575397</v>
          </cell>
          <cell r="D14" t="str">
            <v>Junior Big Data DevOps Engineer</v>
          </cell>
          <cell r="E14">
            <v>123964359</v>
          </cell>
          <cell r="F14" t="str">
            <v>Unmarried</v>
          </cell>
          <cell r="H14" t="str">
            <v>Everest Bank Ltd.</v>
          </cell>
          <cell r="I14" t="str">
            <v>Balaju</v>
          </cell>
          <cell r="J14">
            <v>48282</v>
          </cell>
          <cell r="K14">
            <v>32188</v>
          </cell>
          <cell r="AO14">
            <v>1021891.30625</v>
          </cell>
          <cell r="BB14">
            <v>153678.78</v>
          </cell>
          <cell r="BZ14">
            <v>66507.896590259756</v>
          </cell>
        </row>
        <row r="15">
          <cell r="AO15">
            <v>1667545.040909091</v>
          </cell>
          <cell r="BB15">
            <v>283987.50545454549</v>
          </cell>
          <cell r="BZ15">
            <v>235678.59533333324</v>
          </cell>
        </row>
        <row r="16">
          <cell r="AO16">
            <v>1382854.2</v>
          </cell>
          <cell r="BB16">
            <v>232901.76000000001</v>
          </cell>
          <cell r="BZ16">
            <v>154544.4547368421</v>
          </cell>
        </row>
        <row r="17">
          <cell r="C17">
            <v>9869534920</v>
          </cell>
          <cell r="D17" t="str">
            <v>Data Engineer</v>
          </cell>
          <cell r="E17">
            <v>128516755</v>
          </cell>
          <cell r="J17">
            <v>75036</v>
          </cell>
          <cell r="AO17">
            <v>980470.4</v>
          </cell>
          <cell r="BB17">
            <v>162828.12000000002</v>
          </cell>
          <cell r="BZ17">
            <v>64025.188705882356</v>
          </cell>
        </row>
        <row r="18">
          <cell r="C18">
            <v>9810680818</v>
          </cell>
          <cell r="D18" t="str">
            <v>Data Engineer</v>
          </cell>
          <cell r="E18">
            <v>129695347</v>
          </cell>
          <cell r="J18">
            <v>79326</v>
          </cell>
          <cell r="AO18">
            <v>1036526.4</v>
          </cell>
          <cell r="BB18">
            <v>172137.42</v>
          </cell>
          <cell r="BZ18">
            <v>53997.878117647066</v>
          </cell>
        </row>
        <row r="19">
          <cell r="C19">
            <v>9860435993</v>
          </cell>
          <cell r="D19" t="str">
            <v>Senior Databricks Data Engineer</v>
          </cell>
          <cell r="E19">
            <v>126919165</v>
          </cell>
          <cell r="J19">
            <v>117935.99999999999</v>
          </cell>
          <cell r="AO19">
            <v>1541030.4</v>
          </cell>
          <cell r="BB19">
            <v>255921.12</v>
          </cell>
          <cell r="BZ19">
            <v>202753.77129411767</v>
          </cell>
        </row>
        <row r="20">
          <cell r="C20">
            <v>9860673725</v>
          </cell>
          <cell r="D20" t="str">
            <v>Data Engineer</v>
          </cell>
          <cell r="E20">
            <v>130775218</v>
          </cell>
          <cell r="J20">
            <v>53820</v>
          </cell>
          <cell r="AO20">
            <v>668085.6</v>
          </cell>
          <cell r="BB20">
            <v>110949.93</v>
          </cell>
          <cell r="BZ20">
            <v>14810.786941176471</v>
          </cell>
        </row>
        <row r="21">
          <cell r="J21">
            <v>53664</v>
          </cell>
          <cell r="K21">
            <v>35776</v>
          </cell>
          <cell r="AO21">
            <v>491757.38181818184</v>
          </cell>
          <cell r="BB21">
            <v>81666.850909090906</v>
          </cell>
          <cell r="BZ21">
            <v>2483.3518842975222</v>
          </cell>
        </row>
        <row r="22">
          <cell r="J22">
            <v>109980</v>
          </cell>
          <cell r="K22">
            <v>73320</v>
          </cell>
          <cell r="AO22">
            <v>933163.63636363624</v>
          </cell>
          <cell r="BB22">
            <v>154971.81818181818</v>
          </cell>
          <cell r="BZ22">
            <v>49352.389917355351</v>
          </cell>
        </row>
        <row r="23">
          <cell r="G23">
            <v>8500501204251</v>
          </cell>
          <cell r="H23" t="str">
            <v>Everest Bank Ltd.</v>
          </cell>
          <cell r="I23" t="str">
            <v>Sanagaon</v>
          </cell>
          <cell r="AO23">
            <v>482227.20000000001</v>
          </cell>
          <cell r="BB23">
            <v>80084.160000000003</v>
          </cell>
          <cell r="BZ23">
            <v>3592.3316363636404</v>
          </cell>
        </row>
        <row r="24">
          <cell r="D24" t="str">
            <v>Senior Databricks Data Engineer</v>
          </cell>
          <cell r="E24">
            <v>131397912</v>
          </cell>
          <cell r="F24" t="str">
            <v>Unmarried</v>
          </cell>
          <cell r="G24">
            <v>1000527201007</v>
          </cell>
          <cell r="H24" t="str">
            <v>Everest Bank Ltd.</v>
          </cell>
          <cell r="I24" t="str">
            <v>Teku</v>
          </cell>
          <cell r="AO24">
            <v>960377.6</v>
          </cell>
          <cell r="BB24">
            <v>159491.28</v>
          </cell>
          <cell r="BZ24">
            <v>78722.432000000001</v>
          </cell>
        </row>
        <row r="25">
          <cell r="A25" t="str">
            <v>Prakash Dhakal</v>
          </cell>
          <cell r="C25">
            <v>9860466302</v>
          </cell>
          <cell r="D25" t="str">
            <v xml:space="preserve">Data Scientist </v>
          </cell>
          <cell r="E25">
            <v>126625903</v>
          </cell>
          <cell r="G25">
            <v>8100501201860</v>
          </cell>
          <cell r="H25" t="str">
            <v>Everest Bank Ltd.</v>
          </cell>
          <cell r="I25" t="str">
            <v>Naxal</v>
          </cell>
          <cell r="J25">
            <v>96564</v>
          </cell>
          <cell r="AO25">
            <v>675948</v>
          </cell>
          <cell r="BB25">
            <v>112255.65</v>
          </cell>
          <cell r="BZ25">
            <v>26743.021090909097</v>
          </cell>
        </row>
        <row r="26">
          <cell r="A26" t="str">
            <v>Sushan Kattel</v>
          </cell>
          <cell r="C26">
            <v>9862699011</v>
          </cell>
          <cell r="D26" t="str">
            <v>Data Engineer</v>
          </cell>
          <cell r="E26">
            <v>122009697</v>
          </cell>
          <cell r="F26" t="str">
            <v>Unmarried</v>
          </cell>
          <cell r="G26">
            <v>5700501205341</v>
          </cell>
          <cell r="K26">
            <v>64376</v>
          </cell>
          <cell r="AO26">
            <v>630884.80000000005</v>
          </cell>
          <cell r="BB26">
            <v>104771.94</v>
          </cell>
          <cell r="BZ26">
            <v>20479.030666666673</v>
          </cell>
        </row>
        <row r="27">
          <cell r="E27">
            <v>143433361</v>
          </cell>
          <cell r="J27">
            <v>64584</v>
          </cell>
          <cell r="K27">
            <v>43056</v>
          </cell>
          <cell r="AO27">
            <v>169875.49090909094</v>
          </cell>
          <cell r="BB27">
            <v>28211.465454545454</v>
          </cell>
        </row>
        <row r="28">
          <cell r="H28" t="str">
            <v>Everest Bank Ltd.</v>
          </cell>
        </row>
        <row r="29">
          <cell r="A29" t="str">
            <v>Amriteshwor Lal Mulepaty</v>
          </cell>
          <cell r="C29">
            <v>9841820270</v>
          </cell>
          <cell r="D29" t="str">
            <v>HR Manager</v>
          </cell>
          <cell r="E29">
            <v>110905471</v>
          </cell>
          <cell r="F29" t="str">
            <v>Married</v>
          </cell>
          <cell r="H29" t="str">
            <v>Everest Bank Ltd.</v>
          </cell>
          <cell r="I29" t="str">
            <v>Thamel</v>
          </cell>
          <cell r="J29">
            <v>98100</v>
          </cell>
          <cell r="K29">
            <v>65400</v>
          </cell>
          <cell r="AO29">
            <v>1264161.6959999998</v>
          </cell>
          <cell r="BB29">
            <v>194979.76379999996</v>
          </cell>
          <cell r="BZ29">
            <v>99523.232087617187</v>
          </cell>
        </row>
        <row r="30">
          <cell r="AO30">
            <v>134882.24000000002</v>
          </cell>
          <cell r="BB30">
            <v>14228.628000000001</v>
          </cell>
          <cell r="BZ30">
            <v>0</v>
          </cell>
        </row>
        <row r="31">
          <cell r="A31" t="str">
            <v>Aditya Kumar Gupta</v>
          </cell>
          <cell r="B31" t="str">
            <v>28</v>
          </cell>
          <cell r="C31">
            <v>9709053002</v>
          </cell>
          <cell r="E31">
            <v>153156913</v>
          </cell>
          <cell r="F31" t="str">
            <v>Unmarried</v>
          </cell>
          <cell r="H31" t="str">
            <v>Everest Bank Ltd.</v>
          </cell>
          <cell r="J31">
            <v>20481.407999999999</v>
          </cell>
          <cell r="K31">
            <v>13654.271999999999</v>
          </cell>
          <cell r="AO31">
            <v>392386.88800000004</v>
          </cell>
          <cell r="BB31">
            <v>52061.598400000003</v>
          </cell>
          <cell r="BZ31">
            <v>0</v>
          </cell>
        </row>
        <row r="35">
          <cell r="AO35">
            <v>33915536.316977262</v>
          </cell>
          <cell r="BB35">
            <v>4937908.3915136363</v>
          </cell>
          <cell r="BZ35">
            <v>3595439.8931976496</v>
          </cell>
        </row>
      </sheetData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F8EAC-3F50-4B6E-B3F0-1054B6BF2A23}">
  <dimension ref="A1:F618"/>
  <sheetViews>
    <sheetView tabSelected="1" view="pageBreakPreview" zoomScale="95" zoomScaleNormal="80" zoomScaleSheetLayoutView="95" workbookViewId="0">
      <selection activeCell="F10" sqref="F10"/>
    </sheetView>
  </sheetViews>
  <sheetFormatPr defaultRowHeight="15" x14ac:dyDescent="0.25"/>
  <cols>
    <col min="1" max="1" width="31.7109375" customWidth="1"/>
    <col min="2" max="2" width="28.28515625" bestFit="1" customWidth="1"/>
    <col min="3" max="3" width="29.28515625" customWidth="1"/>
    <col min="4" max="4" width="26.85546875" bestFit="1" customWidth="1"/>
    <col min="5" max="5" width="15.85546875" style="2" customWidth="1"/>
    <col min="6" max="6" width="17.85546875" customWidth="1"/>
  </cols>
  <sheetData>
    <row r="1" spans="1:4" x14ac:dyDescent="0.25">
      <c r="A1" s="51" t="s">
        <v>0</v>
      </c>
      <c r="B1" s="52"/>
      <c r="C1" s="52"/>
      <c r="D1" s="52"/>
    </row>
    <row r="2" spans="1:4" x14ac:dyDescent="0.25">
      <c r="A2" s="3" t="s">
        <v>1</v>
      </c>
      <c r="B2" s="4" t="str">
        <f>'[1]Yearly sheet'!A3</f>
        <v>Shobha Gupta</v>
      </c>
      <c r="C2" s="3" t="s">
        <v>2</v>
      </c>
      <c r="D2" s="5" t="s">
        <v>3</v>
      </c>
    </row>
    <row r="3" spans="1:4" x14ac:dyDescent="0.25">
      <c r="A3" s="3" t="s">
        <v>4</v>
      </c>
      <c r="B3" s="6" t="str">
        <f>'[1]Yearly sheet'!D3</f>
        <v>Founder</v>
      </c>
      <c r="C3" s="3" t="s">
        <v>5</v>
      </c>
      <c r="D3" s="4" t="str">
        <f>'[1]Yearly sheet'!H3</f>
        <v>Everest Bank Ltd.</v>
      </c>
    </row>
    <row r="4" spans="1:4" x14ac:dyDescent="0.25">
      <c r="A4" s="3" t="s">
        <v>6</v>
      </c>
      <c r="B4" s="4">
        <f>'[1]Yearly sheet'!E3</f>
        <v>129132721</v>
      </c>
      <c r="C4" s="3" t="s">
        <v>7</v>
      </c>
      <c r="D4" s="4" t="str">
        <f>'[1]Yearly sheet'!I3</f>
        <v>Rajbiraj</v>
      </c>
    </row>
    <row r="5" spans="1:4" x14ac:dyDescent="0.25">
      <c r="A5" s="3" t="s">
        <v>8</v>
      </c>
      <c r="B5" s="7">
        <v>9804799117</v>
      </c>
      <c r="C5" s="73"/>
      <c r="D5" s="73"/>
    </row>
    <row r="6" spans="1:4" x14ac:dyDescent="0.25">
      <c r="A6" s="51" t="s">
        <v>9</v>
      </c>
      <c r="B6" s="52"/>
      <c r="C6" s="51" t="s">
        <v>10</v>
      </c>
      <c r="D6" s="52"/>
    </row>
    <row r="7" spans="1:4" x14ac:dyDescent="0.25">
      <c r="A7" s="8" t="s">
        <v>11</v>
      </c>
      <c r="B7" s="9">
        <f>'[1]Yearly sheet'!J3</f>
        <v>60000</v>
      </c>
      <c r="C7" s="8" t="s">
        <v>12</v>
      </c>
      <c r="D7" s="9">
        <f>'[1]Yearly sheet'!AO3</f>
        <v>1086383</v>
      </c>
    </row>
    <row r="8" spans="1:4" x14ac:dyDescent="0.25">
      <c r="A8" s="8" t="s">
        <v>13</v>
      </c>
      <c r="B8" s="9">
        <f>'[1]Yearly sheet'!K3</f>
        <v>40000</v>
      </c>
      <c r="C8" s="8" t="s">
        <v>14</v>
      </c>
      <c r="D8" s="9">
        <f>'[1]Yearly sheet'!BB3</f>
        <v>0</v>
      </c>
    </row>
    <row r="9" spans="1:4" x14ac:dyDescent="0.25">
      <c r="A9" s="3" t="s">
        <v>15</v>
      </c>
      <c r="B9" s="10">
        <f>B7+B8</f>
        <v>100000</v>
      </c>
      <c r="C9" s="8" t="s">
        <v>16</v>
      </c>
      <c r="D9" s="9">
        <f>'[1]Yearly sheet'!BZ3</f>
        <v>122046.228</v>
      </c>
    </row>
    <row r="10" spans="1:4" x14ac:dyDescent="0.25">
      <c r="A10" s="3" t="s">
        <v>17</v>
      </c>
      <c r="B10" s="10">
        <v>200</v>
      </c>
      <c r="C10" s="3" t="s">
        <v>18</v>
      </c>
      <c r="D10" s="10">
        <f>D7-D8-D9</f>
        <v>964336.772</v>
      </c>
    </row>
    <row r="11" spans="1:4" ht="15" customHeight="1" x14ac:dyDescent="0.25">
      <c r="A11" s="11" t="s">
        <v>19</v>
      </c>
      <c r="B11" s="9">
        <v>0</v>
      </c>
      <c r="C11" s="70" t="s">
        <v>20</v>
      </c>
      <c r="D11" s="70"/>
    </row>
    <row r="12" spans="1:4" x14ac:dyDescent="0.25">
      <c r="A12" s="11" t="s">
        <v>21</v>
      </c>
      <c r="B12" s="9">
        <f>[1]May!F3</f>
        <v>0</v>
      </c>
      <c r="C12" s="70"/>
      <c r="D12" s="70"/>
    </row>
    <row r="13" spans="1:4" x14ac:dyDescent="0.25">
      <c r="A13" s="8" t="s">
        <v>22</v>
      </c>
      <c r="B13" s="10">
        <f>B10+B11+B12</f>
        <v>200</v>
      </c>
      <c r="C13" s="70"/>
      <c r="D13" s="70"/>
    </row>
    <row r="14" spans="1:4" x14ac:dyDescent="0.25">
      <c r="A14" s="3" t="s">
        <v>23</v>
      </c>
      <c r="B14" s="1"/>
      <c r="C14" s="70"/>
      <c r="D14" s="70"/>
    </row>
    <row r="15" spans="1:4" x14ac:dyDescent="0.25">
      <c r="A15" s="11" t="s">
        <v>19</v>
      </c>
      <c r="B15" s="9">
        <f>B11</f>
        <v>0</v>
      </c>
      <c r="C15" s="70"/>
      <c r="D15" s="70"/>
    </row>
    <row r="16" spans="1:4" x14ac:dyDescent="0.25">
      <c r="A16" s="11" t="s">
        <v>24</v>
      </c>
      <c r="B16" s="9">
        <v>0</v>
      </c>
      <c r="C16" s="51" t="s">
        <v>25</v>
      </c>
      <c r="D16" s="52"/>
    </row>
    <row r="17" spans="1:4" x14ac:dyDescent="0.25">
      <c r="A17" s="8" t="s">
        <v>26</v>
      </c>
      <c r="B17" s="9">
        <f>[1]May!T3</f>
        <v>12184.788</v>
      </c>
      <c r="C17" s="8" t="s">
        <v>27</v>
      </c>
      <c r="D17" s="12">
        <v>46143</v>
      </c>
    </row>
    <row r="18" spans="1:4" x14ac:dyDescent="0.25">
      <c r="A18" s="8" t="s">
        <v>28</v>
      </c>
      <c r="B18" s="10">
        <f>SUM(B15:B17)</f>
        <v>12184.788</v>
      </c>
      <c r="C18" s="8" t="s">
        <v>29</v>
      </c>
      <c r="D18" s="13" t="s">
        <v>30</v>
      </c>
    </row>
    <row r="19" spans="1:4" x14ac:dyDescent="0.25">
      <c r="A19" s="14" t="s">
        <v>31</v>
      </c>
      <c r="B19" s="15">
        <f>B13-B18</f>
        <v>-11984.788</v>
      </c>
      <c r="C19" s="16"/>
      <c r="D19" s="17"/>
    </row>
    <row r="20" spans="1:4" x14ac:dyDescent="0.25">
      <c r="A20" s="18"/>
      <c r="B20" s="19"/>
      <c r="C20" s="18"/>
      <c r="D20" s="20"/>
    </row>
    <row r="21" spans="1:4" x14ac:dyDescent="0.25">
      <c r="B21" s="19"/>
      <c r="C21" s="18"/>
      <c r="D21" s="20"/>
    </row>
    <row r="22" spans="1:4" x14ac:dyDescent="0.25">
      <c r="A22" s="51" t="s">
        <v>0</v>
      </c>
      <c r="B22" s="52"/>
      <c r="C22" s="52"/>
      <c r="D22" s="52"/>
    </row>
    <row r="23" spans="1:4" x14ac:dyDescent="0.25">
      <c r="A23" s="21" t="s">
        <v>32</v>
      </c>
      <c r="B23" s="22" t="s">
        <v>33</v>
      </c>
      <c r="C23" s="21" t="s">
        <v>2</v>
      </c>
      <c r="D23" s="23" t="s">
        <v>34</v>
      </c>
    </row>
    <row r="24" spans="1:4" x14ac:dyDescent="0.25">
      <c r="A24" s="21" t="s">
        <v>1</v>
      </c>
      <c r="B24" s="4" t="str">
        <f>'[1]Yearly sheet'!A4</f>
        <v>Sushil Kumar Gupta</v>
      </c>
      <c r="C24" s="21" t="s">
        <v>5</v>
      </c>
      <c r="D24" s="4" t="str">
        <f>'[1]Yearly sheet'!H4</f>
        <v>Everest Bank Ltd.</v>
      </c>
    </row>
    <row r="25" spans="1:4" x14ac:dyDescent="0.25">
      <c r="A25" s="21" t="s">
        <v>4</v>
      </c>
      <c r="B25" s="11" t="str">
        <f>'[1]Yearly sheet'!D4</f>
        <v>Executive Assistant to the Founder</v>
      </c>
      <c r="C25" s="21" t="s">
        <v>7</v>
      </c>
      <c r="D25" s="4" t="str">
        <f>'[1]Yearly sheet'!I4</f>
        <v>Rajbiraj</v>
      </c>
    </row>
    <row r="26" spans="1:4" x14ac:dyDescent="0.25">
      <c r="A26" s="21" t="s">
        <v>6</v>
      </c>
      <c r="B26" s="4">
        <f>'[1]Yearly sheet'!E4</f>
        <v>103118189</v>
      </c>
      <c r="C26" s="72"/>
      <c r="D26" s="52"/>
    </row>
    <row r="27" spans="1:4" x14ac:dyDescent="0.25">
      <c r="A27" s="21" t="s">
        <v>8</v>
      </c>
      <c r="B27" s="4">
        <f>'[1]Yearly sheet'!C4</f>
        <v>9842832815</v>
      </c>
      <c r="C27" s="52"/>
      <c r="D27" s="52"/>
    </row>
    <row r="28" spans="1:4" x14ac:dyDescent="0.25">
      <c r="A28" s="51" t="s">
        <v>9</v>
      </c>
      <c r="B28" s="52"/>
      <c r="C28" s="51" t="s">
        <v>10</v>
      </c>
      <c r="D28" s="52"/>
    </row>
    <row r="29" spans="1:4" x14ac:dyDescent="0.25">
      <c r="A29" s="8" t="s">
        <v>11</v>
      </c>
      <c r="B29" s="9">
        <f>'[1]Yearly sheet'!J4</f>
        <v>60000</v>
      </c>
      <c r="C29" s="8" t="s">
        <v>12</v>
      </c>
      <c r="D29" s="9">
        <f>'[1]Yearly sheet'!AO4</f>
        <v>1086383</v>
      </c>
    </row>
    <row r="30" spans="1:4" x14ac:dyDescent="0.25">
      <c r="A30" s="8" t="s">
        <v>13</v>
      </c>
      <c r="B30" s="9">
        <f>'[1]Yearly sheet'!K4</f>
        <v>40000</v>
      </c>
      <c r="C30" s="8" t="s">
        <v>14</v>
      </c>
      <c r="D30" s="9">
        <f>'[1]Yearly sheet'!BC4</f>
        <v>0</v>
      </c>
    </row>
    <row r="31" spans="1:4" x14ac:dyDescent="0.25">
      <c r="A31" s="3" t="s">
        <v>15</v>
      </c>
      <c r="B31" s="10">
        <f>B29+B30</f>
        <v>100000</v>
      </c>
      <c r="C31" s="8" t="s">
        <v>16</v>
      </c>
      <c r="D31" s="9">
        <f>'[1]Yearly sheet'!BZ4</f>
        <v>135606.92000000001</v>
      </c>
    </row>
    <row r="32" spans="1:4" x14ac:dyDescent="0.25">
      <c r="A32" s="3" t="s">
        <v>17</v>
      </c>
      <c r="B32" s="10">
        <v>400</v>
      </c>
      <c r="C32" s="3" t="s">
        <v>18</v>
      </c>
      <c r="D32" s="10">
        <f>D29-D30-D31</f>
        <v>950776.08</v>
      </c>
    </row>
    <row r="33" spans="1:4" ht="15" customHeight="1" x14ac:dyDescent="0.25">
      <c r="A33" s="11" t="s">
        <v>19</v>
      </c>
      <c r="B33" s="9">
        <v>0</v>
      </c>
      <c r="C33" s="70" t="s">
        <v>20</v>
      </c>
      <c r="D33" s="70"/>
    </row>
    <row r="34" spans="1:4" x14ac:dyDescent="0.25">
      <c r="A34" s="11" t="s">
        <v>21</v>
      </c>
      <c r="B34" s="9">
        <f>[1]May!F4</f>
        <v>0</v>
      </c>
      <c r="C34" s="70"/>
      <c r="D34" s="70"/>
    </row>
    <row r="35" spans="1:4" x14ac:dyDescent="0.25">
      <c r="A35" s="8" t="s">
        <v>22</v>
      </c>
      <c r="B35" s="10">
        <f>B32+B33+B34</f>
        <v>400</v>
      </c>
      <c r="C35" s="70"/>
      <c r="D35" s="70"/>
    </row>
    <row r="36" spans="1:4" x14ac:dyDescent="0.25">
      <c r="A36" s="3" t="s">
        <v>23</v>
      </c>
      <c r="B36" s="1"/>
      <c r="C36" s="70"/>
      <c r="D36" s="70"/>
    </row>
    <row r="37" spans="1:4" x14ac:dyDescent="0.25">
      <c r="A37" s="11" t="s">
        <v>19</v>
      </c>
      <c r="B37" s="9">
        <f>B33</f>
        <v>0</v>
      </c>
      <c r="C37" s="70"/>
      <c r="D37" s="70"/>
    </row>
    <row r="38" spans="1:4" x14ac:dyDescent="0.25">
      <c r="A38" s="11" t="s">
        <v>24</v>
      </c>
      <c r="B38" s="9">
        <v>0</v>
      </c>
      <c r="C38" s="51" t="s">
        <v>25</v>
      </c>
      <c r="D38" s="52"/>
    </row>
    <row r="39" spans="1:4" x14ac:dyDescent="0.25">
      <c r="A39" s="8" t="s">
        <v>26</v>
      </c>
      <c r="B39" s="9">
        <f>[1]May!T4</f>
        <v>13538.653333333326</v>
      </c>
      <c r="C39" s="8" t="s">
        <v>27</v>
      </c>
      <c r="D39" s="12">
        <v>46143</v>
      </c>
    </row>
    <row r="40" spans="1:4" x14ac:dyDescent="0.25">
      <c r="A40" s="8" t="s">
        <v>28</v>
      </c>
      <c r="B40" s="10">
        <f>SUM(B37:B39)</f>
        <v>13538.653333333326</v>
      </c>
      <c r="C40" s="8" t="s">
        <v>29</v>
      </c>
      <c r="D40" s="13" t="s">
        <v>30</v>
      </c>
    </row>
    <row r="41" spans="1:4" x14ac:dyDescent="0.25">
      <c r="A41" s="14" t="s">
        <v>31</v>
      </c>
      <c r="B41" s="15">
        <f>B35-B40</f>
        <v>-13138.653333333326</v>
      </c>
      <c r="C41" s="16"/>
      <c r="D41" s="17"/>
    </row>
    <row r="42" spans="1:4" x14ac:dyDescent="0.25">
      <c r="B42" s="19"/>
      <c r="C42" s="18"/>
      <c r="D42" s="20"/>
    </row>
    <row r="44" spans="1:4" x14ac:dyDescent="0.25">
      <c r="A44" s="71" t="s">
        <v>0</v>
      </c>
      <c r="B44" s="71"/>
      <c r="C44" s="71"/>
      <c r="D44" s="71"/>
    </row>
    <row r="45" spans="1:4" x14ac:dyDescent="0.25">
      <c r="A45" s="3" t="s">
        <v>1</v>
      </c>
      <c r="B45" s="4" t="str">
        <f>'[1]Yearly sheet'!A5</f>
        <v>Anita KC</v>
      </c>
      <c r="C45" s="3" t="s">
        <v>2</v>
      </c>
      <c r="D45" s="4" t="str">
        <f>'[1]Yearly sheet'!G5</f>
        <v>08100501201473</v>
      </c>
    </row>
    <row r="46" spans="1:4" x14ac:dyDescent="0.25">
      <c r="A46" s="3" t="s">
        <v>4</v>
      </c>
      <c r="B46" s="6" t="str">
        <f>'[1]Yearly sheet'!D5</f>
        <v>Advisor</v>
      </c>
      <c r="C46" s="3" t="s">
        <v>5</v>
      </c>
      <c r="D46" s="4" t="str">
        <f>'[1]Yearly sheet'!H5</f>
        <v>Everest Bank Ltd.</v>
      </c>
    </row>
    <row r="47" spans="1:4" x14ac:dyDescent="0.25">
      <c r="A47" s="3" t="s">
        <v>6</v>
      </c>
      <c r="B47" s="4">
        <f>'[1]Yearly sheet'!E5</f>
        <v>133168080</v>
      </c>
      <c r="C47" s="3" t="s">
        <v>7</v>
      </c>
      <c r="D47" s="4" t="str">
        <f>'[1]Yearly sheet'!I5</f>
        <v>Gairidhara</v>
      </c>
    </row>
    <row r="48" spans="1:4" x14ac:dyDescent="0.25">
      <c r="A48" s="3" t="s">
        <v>8</v>
      </c>
      <c r="B48" s="4">
        <f>'[1]Yearly sheet'!C5</f>
        <v>9867062524</v>
      </c>
      <c r="C48" s="24" t="s">
        <v>35</v>
      </c>
      <c r="D48" s="1" t="str">
        <f>'[1]Yearly sheet'!F5</f>
        <v>Married</v>
      </c>
    </row>
    <row r="49" spans="1:4" x14ac:dyDescent="0.25">
      <c r="A49" s="51" t="s">
        <v>9</v>
      </c>
      <c r="B49" s="52"/>
      <c r="C49" s="51" t="s">
        <v>10</v>
      </c>
      <c r="D49" s="52"/>
    </row>
    <row r="50" spans="1:4" x14ac:dyDescent="0.25">
      <c r="A50" s="8" t="s">
        <v>11</v>
      </c>
      <c r="B50" s="9">
        <f>'[1]Yearly sheet'!J5</f>
        <v>105000</v>
      </c>
      <c r="C50" s="8" t="s">
        <v>12</v>
      </c>
      <c r="D50" s="9">
        <f>'[1]Yearly sheet'!AO5</f>
        <v>2262700</v>
      </c>
    </row>
    <row r="51" spans="1:4" x14ac:dyDescent="0.25">
      <c r="A51" s="8" t="s">
        <v>13</v>
      </c>
      <c r="B51" s="9">
        <f>'[1]Yearly sheet'!K5</f>
        <v>70000</v>
      </c>
      <c r="C51" s="8" t="s">
        <v>14</v>
      </c>
      <c r="D51" s="9">
        <f>'[1]Yearly sheet'!BB5</f>
        <v>325500</v>
      </c>
    </row>
    <row r="52" spans="1:4" x14ac:dyDescent="0.25">
      <c r="A52" s="3" t="s">
        <v>15</v>
      </c>
      <c r="B52" s="10">
        <f>B50+B51</f>
        <v>175000</v>
      </c>
      <c r="C52" s="8" t="s">
        <v>16</v>
      </c>
      <c r="D52" s="9">
        <f>'[1]Yearly sheet'!BZ5</f>
        <v>314852.1428571429</v>
      </c>
    </row>
    <row r="53" spans="1:4" x14ac:dyDescent="0.25">
      <c r="A53" s="3" t="s">
        <v>17</v>
      </c>
      <c r="B53" s="10">
        <v>400</v>
      </c>
      <c r="C53" s="3" t="s">
        <v>18</v>
      </c>
      <c r="D53" s="10">
        <f>D50-D51-D52</f>
        <v>1622347.857142857</v>
      </c>
    </row>
    <row r="54" spans="1:4" ht="14.45" customHeight="1" x14ac:dyDescent="0.25">
      <c r="A54" s="11" t="s">
        <v>19</v>
      </c>
      <c r="B54" s="9">
        <f>[1]May!G5</f>
        <v>21000</v>
      </c>
      <c r="C54" s="70" t="s">
        <v>20</v>
      </c>
      <c r="D54" s="70"/>
    </row>
    <row r="55" spans="1:4" x14ac:dyDescent="0.25">
      <c r="A55" s="11" t="s">
        <v>21</v>
      </c>
      <c r="B55" s="9">
        <f>[1]May!F5</f>
        <v>0</v>
      </c>
      <c r="C55" s="70"/>
      <c r="D55" s="70"/>
    </row>
    <row r="56" spans="1:4" x14ac:dyDescent="0.25">
      <c r="A56" s="8" t="s">
        <v>22</v>
      </c>
      <c r="B56" s="10">
        <f>B53+B54+B55</f>
        <v>21400</v>
      </c>
      <c r="C56" s="70"/>
      <c r="D56" s="70"/>
    </row>
    <row r="57" spans="1:4" x14ac:dyDescent="0.25">
      <c r="A57" s="3" t="s">
        <v>23</v>
      </c>
      <c r="B57" s="1"/>
      <c r="C57" s="70"/>
      <c r="D57" s="70"/>
    </row>
    <row r="58" spans="1:4" x14ac:dyDescent="0.25">
      <c r="A58" s="11" t="s">
        <v>19</v>
      </c>
      <c r="B58" s="9">
        <f>B54</f>
        <v>21000</v>
      </c>
      <c r="C58" s="70"/>
      <c r="D58" s="70"/>
    </row>
    <row r="59" spans="1:4" x14ac:dyDescent="0.25">
      <c r="A59" s="11" t="s">
        <v>24</v>
      </c>
      <c r="B59" s="9">
        <f>[1]May!I5</f>
        <v>11550</v>
      </c>
      <c r="C59" s="51" t="s">
        <v>25</v>
      </c>
      <c r="D59" s="52"/>
    </row>
    <row r="60" spans="1:4" x14ac:dyDescent="0.25">
      <c r="A60" s="8" t="s">
        <v>26</v>
      </c>
      <c r="B60" s="9">
        <f>[1]May!T5</f>
        <v>38244.171428571433</v>
      </c>
      <c r="C60" s="8" t="s">
        <v>27</v>
      </c>
      <c r="D60" s="12">
        <v>46143</v>
      </c>
    </row>
    <row r="61" spans="1:4" x14ac:dyDescent="0.25">
      <c r="A61" s="8" t="s">
        <v>28</v>
      </c>
      <c r="B61" s="10">
        <f>SUM(B58:B60)</f>
        <v>70794.171428571426</v>
      </c>
      <c r="C61" s="8" t="s">
        <v>29</v>
      </c>
      <c r="D61" s="13" t="s">
        <v>30</v>
      </c>
    </row>
    <row r="62" spans="1:4" x14ac:dyDescent="0.25">
      <c r="A62" s="14" t="s">
        <v>31</v>
      </c>
      <c r="B62" s="15">
        <f>B56-B61</f>
        <v>-49394.171428571426</v>
      </c>
      <c r="C62" s="16"/>
      <c r="D62" s="17"/>
    </row>
    <row r="63" spans="1:4" x14ac:dyDescent="0.25">
      <c r="A63" s="25"/>
      <c r="B63" s="25"/>
      <c r="C63" s="25"/>
      <c r="D63" s="25"/>
    </row>
    <row r="64" spans="1:4" x14ac:dyDescent="0.25">
      <c r="A64" s="25"/>
      <c r="B64" s="25"/>
      <c r="C64" s="25"/>
      <c r="D64" s="25"/>
    </row>
    <row r="65" spans="1:4" x14ac:dyDescent="0.25">
      <c r="A65" s="51" t="s">
        <v>0</v>
      </c>
      <c r="B65" s="52"/>
      <c r="C65" s="52"/>
      <c r="D65" s="52"/>
    </row>
    <row r="66" spans="1:4" x14ac:dyDescent="0.25">
      <c r="A66" s="3" t="s">
        <v>32</v>
      </c>
      <c r="B66" s="22" t="s">
        <v>36</v>
      </c>
      <c r="C66" s="3" t="s">
        <v>2</v>
      </c>
      <c r="D66" s="4" t="str">
        <f>'[1]Yearly sheet'!G6</f>
        <v>04900501207266</v>
      </c>
    </row>
    <row r="67" spans="1:4" x14ac:dyDescent="0.25">
      <c r="A67" s="3" t="s">
        <v>1</v>
      </c>
      <c r="B67" s="4" t="str">
        <f>'[1]Yearly sheet'!A6</f>
        <v>Bindu Shrestha</v>
      </c>
      <c r="C67" s="3" t="s">
        <v>5</v>
      </c>
      <c r="D67" s="4" t="str">
        <f>'[1]Yearly sheet'!H6</f>
        <v>Everest Bank Ltd.</v>
      </c>
    </row>
    <row r="68" spans="1:4" x14ac:dyDescent="0.25">
      <c r="A68" s="3" t="s">
        <v>4</v>
      </c>
      <c r="B68" s="6" t="str">
        <f>'[1]Yearly sheet'!D6</f>
        <v>Senior Software Developer</v>
      </c>
      <c r="C68" s="3" t="s">
        <v>7</v>
      </c>
      <c r="D68" s="4" t="str">
        <f>'[1]Yearly sheet'!I6</f>
        <v>Gulariya</v>
      </c>
    </row>
    <row r="69" spans="1:4" x14ac:dyDescent="0.25">
      <c r="A69" s="3" t="s">
        <v>6</v>
      </c>
      <c r="B69" s="4">
        <f>'[1]Yearly sheet'!E6</f>
        <v>106564321</v>
      </c>
      <c r="C69" s="53"/>
      <c r="D69" s="53"/>
    </row>
    <row r="70" spans="1:4" x14ac:dyDescent="0.25">
      <c r="A70" s="3" t="s">
        <v>8</v>
      </c>
      <c r="B70" s="4">
        <f>'[1]Yearly sheet'!C6</f>
        <v>9840062832</v>
      </c>
      <c r="C70" s="24" t="s">
        <v>35</v>
      </c>
      <c r="D70" s="1" t="str">
        <f>'[1]Yearly sheet'!F6</f>
        <v>Married</v>
      </c>
    </row>
    <row r="71" spans="1:4" x14ac:dyDescent="0.25">
      <c r="A71" s="51" t="s">
        <v>9</v>
      </c>
      <c r="B71" s="52"/>
      <c r="C71" s="51" t="s">
        <v>10</v>
      </c>
      <c r="D71" s="52"/>
    </row>
    <row r="72" spans="1:4" x14ac:dyDescent="0.25">
      <c r="A72" s="8" t="s">
        <v>11</v>
      </c>
      <c r="B72" s="26">
        <f>'[1]Yearly sheet'!J6</f>
        <v>139701.9</v>
      </c>
      <c r="C72" s="8" t="s">
        <v>12</v>
      </c>
      <c r="D72" s="26">
        <f>'[1]Yearly sheet'!AO6</f>
        <v>2850850.1059999997</v>
      </c>
    </row>
    <row r="73" spans="1:4" x14ac:dyDescent="0.25">
      <c r="A73" s="8" t="s">
        <v>13</v>
      </c>
      <c r="B73" s="26">
        <f>'[1]Yearly sheet'!K6</f>
        <v>93134.6</v>
      </c>
      <c r="C73" s="8" t="s">
        <v>14</v>
      </c>
      <c r="D73" s="26">
        <f>'[1]Yearly sheet'!BB6</f>
        <v>430910.51054999995</v>
      </c>
    </row>
    <row r="74" spans="1:4" x14ac:dyDescent="0.25">
      <c r="A74" s="8" t="s">
        <v>15</v>
      </c>
      <c r="B74" s="27">
        <f>B72+B73</f>
        <v>232836.5</v>
      </c>
      <c r="C74" s="8" t="s">
        <v>16</v>
      </c>
      <c r="D74" s="26">
        <f>'[1]Yearly sheet'!BZ6</f>
        <v>486429.09103168827</v>
      </c>
    </row>
    <row r="75" spans="1:4" x14ac:dyDescent="0.25">
      <c r="A75" s="3" t="s">
        <v>17</v>
      </c>
      <c r="B75" s="27">
        <v>400</v>
      </c>
      <c r="C75" s="3" t="s">
        <v>18</v>
      </c>
      <c r="D75" s="27">
        <f>D72-D73-D74</f>
        <v>1933510.5044183116</v>
      </c>
    </row>
    <row r="76" spans="1:4" ht="15" customHeight="1" x14ac:dyDescent="0.25">
      <c r="A76" s="11" t="s">
        <v>19</v>
      </c>
      <c r="B76" s="26">
        <f>[1]May!G6</f>
        <v>27940.38</v>
      </c>
      <c r="C76" s="70" t="s">
        <v>20</v>
      </c>
      <c r="D76" s="70"/>
    </row>
    <row r="77" spans="1:4" x14ac:dyDescent="0.25">
      <c r="A77" s="8" t="s">
        <v>21</v>
      </c>
      <c r="B77" s="26">
        <v>0</v>
      </c>
      <c r="C77" s="70"/>
      <c r="D77" s="70"/>
    </row>
    <row r="78" spans="1:4" x14ac:dyDescent="0.25">
      <c r="A78" s="8" t="s">
        <v>22</v>
      </c>
      <c r="B78" s="27">
        <f>B75+B76+B77</f>
        <v>28340.38</v>
      </c>
      <c r="C78" s="70"/>
      <c r="D78" s="70"/>
    </row>
    <row r="79" spans="1:4" x14ac:dyDescent="0.25">
      <c r="A79" s="60" t="s">
        <v>23</v>
      </c>
      <c r="B79" s="52"/>
      <c r="C79" s="70"/>
      <c r="D79" s="70"/>
    </row>
    <row r="80" spans="1:4" x14ac:dyDescent="0.25">
      <c r="A80" s="11" t="s">
        <v>19</v>
      </c>
      <c r="B80" s="26">
        <f>B76</f>
        <v>27940.38</v>
      </c>
      <c r="C80" s="70"/>
      <c r="D80" s="70"/>
    </row>
    <row r="81" spans="1:4" x14ac:dyDescent="0.25">
      <c r="A81" s="11" t="s">
        <v>24</v>
      </c>
      <c r="B81" s="26">
        <f>[1]May!I6</f>
        <v>15367.208999999999</v>
      </c>
      <c r="C81" s="51" t="s">
        <v>25</v>
      </c>
      <c r="D81" s="52"/>
    </row>
    <row r="82" spans="1:4" x14ac:dyDescent="0.25">
      <c r="A82" s="8" t="s">
        <v>26</v>
      </c>
      <c r="B82" s="26">
        <f>[1]May!T6</f>
        <v>42387.728368207812</v>
      </c>
      <c r="C82" s="8" t="s">
        <v>27</v>
      </c>
      <c r="D82" s="12">
        <v>46143</v>
      </c>
    </row>
    <row r="83" spans="1:4" x14ac:dyDescent="0.25">
      <c r="A83" s="8" t="s">
        <v>28</v>
      </c>
      <c r="B83" s="27">
        <f>SUM(B80:B82)</f>
        <v>85695.31736820782</v>
      </c>
      <c r="C83" s="8" t="s">
        <v>29</v>
      </c>
      <c r="D83" s="13" t="s">
        <v>30</v>
      </c>
    </row>
    <row r="84" spans="1:4" x14ac:dyDescent="0.25">
      <c r="A84" s="14" t="s">
        <v>31</v>
      </c>
      <c r="B84" s="28">
        <f>B78-B83</f>
        <v>-57354.937368207815</v>
      </c>
      <c r="C84" s="16"/>
      <c r="D84" s="17"/>
    </row>
    <row r="85" spans="1:4" x14ac:dyDescent="0.25">
      <c r="A85" s="25"/>
      <c r="B85" s="25"/>
      <c r="C85" s="25"/>
      <c r="D85" s="25"/>
    </row>
    <row r="86" spans="1:4" x14ac:dyDescent="0.25">
      <c r="A86" s="25"/>
      <c r="B86" s="25"/>
      <c r="C86" s="25"/>
      <c r="D86" s="25"/>
    </row>
    <row r="87" spans="1:4" x14ac:dyDescent="0.25">
      <c r="A87" s="51" t="s">
        <v>0</v>
      </c>
      <c r="B87" s="52"/>
      <c r="C87" s="52"/>
      <c r="D87" s="52"/>
    </row>
    <row r="88" spans="1:4" x14ac:dyDescent="0.25">
      <c r="A88" s="21" t="s">
        <v>32</v>
      </c>
      <c r="B88" s="22" t="s">
        <v>37</v>
      </c>
      <c r="C88" s="21" t="s">
        <v>2</v>
      </c>
      <c r="D88" s="29" t="s">
        <v>38</v>
      </c>
    </row>
    <row r="89" spans="1:4" x14ac:dyDescent="0.25">
      <c r="A89" s="21" t="s">
        <v>1</v>
      </c>
      <c r="B89" s="4" t="str">
        <f>'[1]Yearly sheet'!A7</f>
        <v>Monika Shrestha</v>
      </c>
      <c r="C89" s="21" t="s">
        <v>5</v>
      </c>
      <c r="D89" s="13" t="str">
        <f>'[1]Yearly sheet'!H7</f>
        <v>Everest Bank Ltd.</v>
      </c>
    </row>
    <row r="90" spans="1:4" x14ac:dyDescent="0.25">
      <c r="A90" s="21" t="s">
        <v>4</v>
      </c>
      <c r="B90" s="6" t="str">
        <f>'[1]Yearly sheet'!D7</f>
        <v>Senior Software Developer</v>
      </c>
      <c r="C90" s="21" t="s">
        <v>7</v>
      </c>
      <c r="D90" s="13" t="str">
        <f>'[1]Yearly sheet'!I7</f>
        <v>Sitapaila</v>
      </c>
    </row>
    <row r="91" spans="1:4" x14ac:dyDescent="0.25">
      <c r="A91" s="21" t="s">
        <v>6</v>
      </c>
      <c r="B91" s="4">
        <f>'[1]Yearly sheet'!E7</f>
        <v>106097250</v>
      </c>
      <c r="C91" s="53"/>
      <c r="D91" s="53"/>
    </row>
    <row r="92" spans="1:4" x14ac:dyDescent="0.25">
      <c r="A92" s="21" t="s">
        <v>8</v>
      </c>
      <c r="B92" s="4">
        <f>'[1]Yearly sheet'!C7</f>
        <v>9843206192</v>
      </c>
      <c r="C92" s="24" t="s">
        <v>35</v>
      </c>
      <c r="D92" s="30" t="str">
        <f>'[1]Yearly sheet'!F7</f>
        <v>Married</v>
      </c>
    </row>
    <row r="93" spans="1:4" x14ac:dyDescent="0.25">
      <c r="A93" s="51" t="s">
        <v>9</v>
      </c>
      <c r="B93" s="52"/>
      <c r="C93" s="51" t="s">
        <v>10</v>
      </c>
      <c r="D93" s="52"/>
    </row>
    <row r="94" spans="1:4" x14ac:dyDescent="0.25">
      <c r="A94" s="8" t="s">
        <v>11</v>
      </c>
      <c r="B94" s="26">
        <f>'[1]Yearly sheet'!J7</f>
        <v>171651</v>
      </c>
      <c r="C94" s="8" t="s">
        <v>12</v>
      </c>
      <c r="D94" s="26">
        <f>'[1]Yearly sheet'!AO7</f>
        <v>2939243.7337500001</v>
      </c>
    </row>
    <row r="95" spans="1:4" x14ac:dyDescent="0.25">
      <c r="A95" s="8" t="s">
        <v>13</v>
      </c>
      <c r="B95" s="26">
        <f>'[1]Yearly sheet'!K7</f>
        <v>114434</v>
      </c>
      <c r="C95" s="8" t="s">
        <v>14</v>
      </c>
      <c r="D95" s="26">
        <f>'[1]Yearly sheet'!BB7</f>
        <v>442980.11099999998</v>
      </c>
    </row>
    <row r="96" spans="1:4" x14ac:dyDescent="0.25">
      <c r="A96" s="8" t="s">
        <v>15</v>
      </c>
      <c r="B96" s="27">
        <f>B94+B95</f>
        <v>286085</v>
      </c>
      <c r="C96" s="8" t="s">
        <v>16</v>
      </c>
      <c r="D96" s="26">
        <f>'[1]Yearly sheet'!BZ7</f>
        <v>511138.64068692859</v>
      </c>
    </row>
    <row r="97" spans="1:6" x14ac:dyDescent="0.25">
      <c r="A97" s="3" t="s">
        <v>17</v>
      </c>
      <c r="B97" s="27">
        <v>400</v>
      </c>
      <c r="C97" s="3" t="s">
        <v>18</v>
      </c>
      <c r="D97" s="27">
        <f>D94-D95-D96</f>
        <v>1985124.9820630716</v>
      </c>
      <c r="F97" s="31"/>
    </row>
    <row r="98" spans="1:6" ht="15" customHeight="1" x14ac:dyDescent="0.25">
      <c r="A98" s="11" t="s">
        <v>19</v>
      </c>
      <c r="B98" s="26">
        <f>[1]May!G7</f>
        <v>34330.200000000004</v>
      </c>
      <c r="C98" s="70" t="s">
        <v>20</v>
      </c>
      <c r="D98" s="70"/>
      <c r="E98" s="32" t="s">
        <v>39</v>
      </c>
    </row>
    <row r="99" spans="1:6" x14ac:dyDescent="0.25">
      <c r="A99" s="8" t="s">
        <v>21</v>
      </c>
      <c r="B99" s="26">
        <f>[1]May!F7</f>
        <v>0</v>
      </c>
      <c r="C99" s="70"/>
      <c r="D99" s="70"/>
    </row>
    <row r="100" spans="1:6" x14ac:dyDescent="0.25">
      <c r="A100" s="8" t="s">
        <v>22</v>
      </c>
      <c r="B100" s="27">
        <f>B97+B98+B99</f>
        <v>34730.200000000004</v>
      </c>
      <c r="C100" s="70"/>
      <c r="D100" s="70"/>
    </row>
    <row r="101" spans="1:6" x14ac:dyDescent="0.25">
      <c r="A101" s="60" t="s">
        <v>23</v>
      </c>
      <c r="B101" s="52"/>
      <c r="C101" s="70"/>
      <c r="D101" s="70"/>
    </row>
    <row r="102" spans="1:6" x14ac:dyDescent="0.25">
      <c r="A102" s="11" t="s">
        <v>19</v>
      </c>
      <c r="B102" s="26">
        <f>B98</f>
        <v>34330.200000000004</v>
      </c>
      <c r="C102" s="70"/>
      <c r="D102" s="70"/>
    </row>
    <row r="103" spans="1:6" x14ac:dyDescent="0.25">
      <c r="A103" s="11" t="s">
        <v>24</v>
      </c>
      <c r="B103" s="26">
        <f>[1]May!I7</f>
        <v>18881.61</v>
      </c>
      <c r="C103" s="51" t="s">
        <v>25</v>
      </c>
      <c r="D103" s="52"/>
    </row>
    <row r="104" spans="1:6" x14ac:dyDescent="0.25">
      <c r="A104" s="8" t="s">
        <v>26</v>
      </c>
      <c r="B104" s="26">
        <f>[1]May!T7</f>
        <v>63323.5230987143</v>
      </c>
      <c r="C104" s="8" t="s">
        <v>27</v>
      </c>
      <c r="D104" s="12">
        <v>46143</v>
      </c>
    </row>
    <row r="105" spans="1:6" x14ac:dyDescent="0.25">
      <c r="A105" s="8" t="s">
        <v>28</v>
      </c>
      <c r="B105" s="27">
        <f>SUM(B102:B104)</f>
        <v>116535.3330987143</v>
      </c>
      <c r="C105" s="8" t="s">
        <v>29</v>
      </c>
      <c r="D105" s="13" t="s">
        <v>30</v>
      </c>
    </row>
    <row r="106" spans="1:6" x14ac:dyDescent="0.25">
      <c r="A106" s="14" t="s">
        <v>31</v>
      </c>
      <c r="B106" s="28">
        <f>B100-B105</f>
        <v>-81805.133098714286</v>
      </c>
      <c r="C106" s="16"/>
      <c r="D106" s="17"/>
    </row>
    <row r="107" spans="1:6" x14ac:dyDescent="0.25">
      <c r="A107" s="25"/>
      <c r="B107" s="25"/>
      <c r="C107" s="25"/>
      <c r="D107" s="25"/>
    </row>
    <row r="108" spans="1:6" x14ac:dyDescent="0.25">
      <c r="A108" s="25"/>
      <c r="B108" s="25"/>
      <c r="C108" s="25"/>
      <c r="D108" s="25"/>
    </row>
    <row r="109" spans="1:6" x14ac:dyDescent="0.25">
      <c r="A109" s="51" t="s">
        <v>0</v>
      </c>
      <c r="B109" s="52"/>
      <c r="C109" s="52"/>
      <c r="D109" s="52"/>
    </row>
    <row r="110" spans="1:6" x14ac:dyDescent="0.25">
      <c r="A110" s="21" t="s">
        <v>32</v>
      </c>
      <c r="B110" s="22" t="s">
        <v>40</v>
      </c>
      <c r="C110" s="21" t="s">
        <v>2</v>
      </c>
      <c r="D110" s="29" t="s">
        <v>41</v>
      </c>
    </row>
    <row r="111" spans="1:6" x14ac:dyDescent="0.25">
      <c r="A111" s="21" t="s">
        <v>1</v>
      </c>
      <c r="B111" s="4" t="str">
        <f>'[1]Yearly sheet'!A8</f>
        <v>Niraj Shakya</v>
      </c>
      <c r="C111" s="21" t="s">
        <v>5</v>
      </c>
      <c r="D111" s="13" t="str">
        <f>'[1]Yearly sheet'!H8</f>
        <v>Everest Bank Ltd.</v>
      </c>
    </row>
    <row r="112" spans="1:6" ht="26.25" x14ac:dyDescent="0.25">
      <c r="A112" s="21" t="s">
        <v>4</v>
      </c>
      <c r="B112" s="11" t="str">
        <f>'[1]Yearly sheet'!D8</f>
        <v>Professional Big Data DevOps Engineer</v>
      </c>
      <c r="C112" s="21" t="s">
        <v>7</v>
      </c>
      <c r="D112" s="13" t="str">
        <f>'[1]Yearly sheet'!I8</f>
        <v>Baneshwor</v>
      </c>
    </row>
    <row r="113" spans="1:6" x14ac:dyDescent="0.25">
      <c r="A113" s="21" t="s">
        <v>6</v>
      </c>
      <c r="B113" s="4">
        <f>'[1]Yearly sheet'!E8</f>
        <v>102592139</v>
      </c>
      <c r="C113" s="53"/>
      <c r="D113" s="53"/>
    </row>
    <row r="114" spans="1:6" x14ac:dyDescent="0.25">
      <c r="A114" s="21" t="s">
        <v>8</v>
      </c>
      <c r="B114" s="4">
        <f>'[1]Yearly sheet'!C8</f>
        <v>9802005193</v>
      </c>
      <c r="C114" s="24" t="s">
        <v>35</v>
      </c>
      <c r="D114" s="1" t="str">
        <f>'[1]Yearly sheet'!F8</f>
        <v>Married</v>
      </c>
    </row>
    <row r="115" spans="1:6" x14ac:dyDescent="0.25">
      <c r="A115" s="51" t="s">
        <v>9</v>
      </c>
      <c r="B115" s="52"/>
      <c r="C115" s="51" t="s">
        <v>10</v>
      </c>
      <c r="D115" s="52"/>
    </row>
    <row r="116" spans="1:6" x14ac:dyDescent="0.25">
      <c r="A116" s="8" t="s">
        <v>11</v>
      </c>
      <c r="B116" s="26">
        <f>'[1]Yearly sheet'!J8</f>
        <v>123030</v>
      </c>
      <c r="C116" s="8" t="s">
        <v>12</v>
      </c>
      <c r="D116" s="26">
        <f>'[1]Yearly sheet'!AO8</f>
        <v>2069139.5062500001</v>
      </c>
    </row>
    <row r="117" spans="1:6" x14ac:dyDescent="0.25">
      <c r="A117" s="8" t="s">
        <v>13</v>
      </c>
      <c r="B117" s="26">
        <f>'[1]Yearly sheet'!K8</f>
        <v>82020</v>
      </c>
      <c r="C117" s="8" t="s">
        <v>14</v>
      </c>
      <c r="D117" s="26">
        <f>'[1]Yearly sheet'!BB8</f>
        <v>308423.34000000003</v>
      </c>
    </row>
    <row r="118" spans="1:6" x14ac:dyDescent="0.25">
      <c r="A118" s="8" t="s">
        <v>15</v>
      </c>
      <c r="B118" s="27">
        <f>B116+B117</f>
        <v>205050</v>
      </c>
      <c r="C118" s="8" t="s">
        <v>16</v>
      </c>
      <c r="D118" s="26">
        <f>'[1]Yearly sheet'!BZ8</f>
        <v>296098.60157636361</v>
      </c>
    </row>
    <row r="119" spans="1:6" x14ac:dyDescent="0.25">
      <c r="A119" s="3" t="s">
        <v>17</v>
      </c>
      <c r="B119" s="27">
        <v>400</v>
      </c>
      <c r="C119" s="3" t="s">
        <v>18</v>
      </c>
      <c r="D119" s="27">
        <f>D116-D117-D118</f>
        <v>1464617.5646736363</v>
      </c>
    </row>
    <row r="120" spans="1:6" ht="15" customHeight="1" x14ac:dyDescent="0.25">
      <c r="A120" s="11" t="s">
        <v>19</v>
      </c>
      <c r="B120" s="26">
        <f>[1]May!G8</f>
        <v>24606</v>
      </c>
      <c r="C120" s="70" t="str">
        <f>C98</f>
        <v xml:space="preserve">*Here, "Annual" denotes the financial year from July 17, 2025 to May 31, 2026. </v>
      </c>
      <c r="D120" s="70"/>
    </row>
    <row r="121" spans="1:6" x14ac:dyDescent="0.25">
      <c r="A121" s="8" t="s">
        <v>21</v>
      </c>
      <c r="B121" s="26">
        <f>[1]May!F8</f>
        <v>0</v>
      </c>
      <c r="C121" s="70"/>
      <c r="D121" s="70"/>
    </row>
    <row r="122" spans="1:6" x14ac:dyDescent="0.25">
      <c r="A122" s="8" t="s">
        <v>22</v>
      </c>
      <c r="B122" s="27">
        <f>B119+B120+B121</f>
        <v>25006</v>
      </c>
      <c r="C122" s="70"/>
      <c r="D122" s="70"/>
    </row>
    <row r="123" spans="1:6" x14ac:dyDescent="0.25">
      <c r="A123" s="60" t="s">
        <v>23</v>
      </c>
      <c r="B123" s="52"/>
      <c r="C123" s="70"/>
      <c r="D123" s="70"/>
    </row>
    <row r="124" spans="1:6" x14ac:dyDescent="0.25">
      <c r="A124" s="11" t="s">
        <v>19</v>
      </c>
      <c r="B124" s="26">
        <f>B120</f>
        <v>24606</v>
      </c>
      <c r="C124" s="70"/>
      <c r="D124" s="70"/>
    </row>
    <row r="125" spans="1:6" x14ac:dyDescent="0.25">
      <c r="A125" s="11" t="s">
        <v>24</v>
      </c>
      <c r="B125" s="26">
        <f>[1]May!I8</f>
        <v>13533.3</v>
      </c>
      <c r="C125" s="51" t="s">
        <v>25</v>
      </c>
      <c r="D125" s="52"/>
    </row>
    <row r="126" spans="1:6" x14ac:dyDescent="0.25">
      <c r="A126" s="8" t="s">
        <v>26</v>
      </c>
      <c r="B126" s="26">
        <f>[1]May!T8</f>
        <v>36228.161515757522</v>
      </c>
      <c r="C126" s="8" t="s">
        <v>27</v>
      </c>
      <c r="D126" s="12">
        <v>46143</v>
      </c>
    </row>
    <row r="127" spans="1:6" x14ac:dyDescent="0.25">
      <c r="A127" s="8" t="s">
        <v>28</v>
      </c>
      <c r="B127" s="27">
        <f>SUM(B124:B126)</f>
        <v>74367.461515757517</v>
      </c>
      <c r="C127" s="8" t="s">
        <v>29</v>
      </c>
      <c r="D127" s="13" t="s">
        <v>30</v>
      </c>
    </row>
    <row r="128" spans="1:6" x14ac:dyDescent="0.25">
      <c r="A128" s="14" t="s">
        <v>31</v>
      </c>
      <c r="B128" s="28">
        <f>B122-B127</f>
        <v>-49361.461515757517</v>
      </c>
      <c r="C128" s="16"/>
      <c r="D128" s="17"/>
      <c r="F128" s="31"/>
    </row>
    <row r="129" spans="1:4" x14ac:dyDescent="0.25">
      <c r="A129" s="25"/>
      <c r="B129" s="25"/>
      <c r="C129" s="25"/>
      <c r="D129" s="25"/>
    </row>
    <row r="130" spans="1:4" x14ac:dyDescent="0.25">
      <c r="A130" s="25"/>
      <c r="B130" s="25"/>
      <c r="C130" s="25"/>
      <c r="D130" s="25"/>
    </row>
    <row r="131" spans="1:4" x14ac:dyDescent="0.25">
      <c r="A131" s="51" t="s">
        <v>0</v>
      </c>
      <c r="B131" s="52"/>
      <c r="C131" s="52"/>
      <c r="D131" s="52"/>
    </row>
    <row r="132" spans="1:4" x14ac:dyDescent="0.25">
      <c r="A132" s="21" t="s">
        <v>32</v>
      </c>
      <c r="B132" s="22" t="s">
        <v>42</v>
      </c>
      <c r="C132" s="21" t="s">
        <v>2</v>
      </c>
      <c r="D132" s="33" t="s">
        <v>43</v>
      </c>
    </row>
    <row r="133" spans="1:4" x14ac:dyDescent="0.25">
      <c r="A133" s="21" t="s">
        <v>1</v>
      </c>
      <c r="B133" s="4" t="str">
        <f>'[1]Yearly sheet'!A9</f>
        <v>Saran Kumar Basnet</v>
      </c>
      <c r="C133" s="21" t="s">
        <v>5</v>
      </c>
      <c r="D133" s="4" t="str">
        <f>'[1]Yearly sheet'!H9</f>
        <v>Everest Bank Ltd.</v>
      </c>
    </row>
    <row r="134" spans="1:4" ht="26.25" x14ac:dyDescent="0.25">
      <c r="A134" s="21" t="s">
        <v>4</v>
      </c>
      <c r="B134" s="11" t="str">
        <f>'[1]Yearly sheet'!D9</f>
        <v>Professional Big Data DevOps Engineer</v>
      </c>
      <c r="C134" s="21" t="s">
        <v>7</v>
      </c>
      <c r="D134" s="4" t="str">
        <f>'[1]Yearly sheet'!I9</f>
        <v>Gairidhara</v>
      </c>
    </row>
    <row r="135" spans="1:4" x14ac:dyDescent="0.25">
      <c r="A135" s="21" t="s">
        <v>6</v>
      </c>
      <c r="B135" s="4">
        <f>'[1]Yearly sheet'!E9</f>
        <v>113932920</v>
      </c>
      <c r="C135" s="53"/>
      <c r="D135" s="53"/>
    </row>
    <row r="136" spans="1:4" x14ac:dyDescent="0.25">
      <c r="A136" s="21" t="s">
        <v>8</v>
      </c>
      <c r="B136" s="4">
        <f>'[1]Yearly sheet'!C9</f>
        <v>9841761158</v>
      </c>
      <c r="C136" s="24" t="s">
        <v>35</v>
      </c>
      <c r="D136" s="1" t="str">
        <f>'[1]Yearly sheet'!F9</f>
        <v>Married</v>
      </c>
    </row>
    <row r="137" spans="1:4" x14ac:dyDescent="0.25">
      <c r="A137" s="51" t="s">
        <v>9</v>
      </c>
      <c r="B137" s="52"/>
      <c r="C137" s="51" t="s">
        <v>10</v>
      </c>
      <c r="D137" s="52"/>
    </row>
    <row r="138" spans="1:4" x14ac:dyDescent="0.25">
      <c r="A138" s="8" t="s">
        <v>11</v>
      </c>
      <c r="B138" s="26">
        <f>'[1]Yearly sheet'!J9</f>
        <v>69861</v>
      </c>
      <c r="C138" s="8" t="s">
        <v>12</v>
      </c>
      <c r="D138" s="26">
        <f>'[1]Yearly sheet'!AO9</f>
        <v>1255718.8875</v>
      </c>
    </row>
    <row r="139" spans="1:4" x14ac:dyDescent="0.25">
      <c r="A139" s="8" t="s">
        <v>13</v>
      </c>
      <c r="B139" s="26">
        <f>'[1]Yearly sheet'!K9</f>
        <v>46574</v>
      </c>
      <c r="C139" s="8" t="s">
        <v>14</v>
      </c>
      <c r="D139" s="26">
        <f>'[1]Yearly sheet'!BB9</f>
        <v>189224.31000000003</v>
      </c>
    </row>
    <row r="140" spans="1:4" x14ac:dyDescent="0.25">
      <c r="A140" s="8" t="s">
        <v>15</v>
      </c>
      <c r="B140" s="27">
        <f>B138+B139</f>
        <v>116435</v>
      </c>
      <c r="C140" s="8" t="s">
        <v>16</v>
      </c>
      <c r="D140" s="26">
        <f>'[1]Yearly sheet'!BZ9</f>
        <v>97383.691309090907</v>
      </c>
    </row>
    <row r="141" spans="1:4" x14ac:dyDescent="0.25">
      <c r="A141" s="3" t="s">
        <v>17</v>
      </c>
      <c r="B141" s="27">
        <v>400</v>
      </c>
      <c r="C141" s="3" t="s">
        <v>18</v>
      </c>
      <c r="D141" s="27">
        <f>D138-D139-D140</f>
        <v>969110.88619090896</v>
      </c>
    </row>
    <row r="142" spans="1:4" ht="15" customHeight="1" x14ac:dyDescent="0.25">
      <c r="A142" s="11" t="s">
        <v>19</v>
      </c>
      <c r="B142" s="26">
        <f>[1]May!G9</f>
        <v>13972.2</v>
      </c>
      <c r="C142" s="54" t="str">
        <f>C120</f>
        <v xml:space="preserve">*Here, "Annual" denotes the financial year from July 17, 2025 to May 31, 2026. </v>
      </c>
      <c r="D142" s="55"/>
    </row>
    <row r="143" spans="1:4" x14ac:dyDescent="0.25">
      <c r="A143" s="8" t="s">
        <v>21</v>
      </c>
      <c r="B143" s="26">
        <v>0</v>
      </c>
      <c r="C143" s="56"/>
      <c r="D143" s="57"/>
    </row>
    <row r="144" spans="1:4" x14ac:dyDescent="0.25">
      <c r="A144" s="8" t="s">
        <v>22</v>
      </c>
      <c r="B144" s="27">
        <f>B141+B142+B143</f>
        <v>14372.2</v>
      </c>
      <c r="C144" s="56"/>
      <c r="D144" s="57"/>
    </row>
    <row r="145" spans="1:4" x14ac:dyDescent="0.25">
      <c r="A145" s="60" t="s">
        <v>23</v>
      </c>
      <c r="B145" s="52"/>
      <c r="C145" s="56"/>
      <c r="D145" s="57"/>
    </row>
    <row r="146" spans="1:4" x14ac:dyDescent="0.25">
      <c r="A146" s="11" t="s">
        <v>19</v>
      </c>
      <c r="B146" s="26">
        <f>B142</f>
        <v>13972.2</v>
      </c>
      <c r="C146" s="58"/>
      <c r="D146" s="59"/>
    </row>
    <row r="147" spans="1:4" x14ac:dyDescent="0.25">
      <c r="A147" s="11" t="s">
        <v>24</v>
      </c>
      <c r="B147" s="26">
        <f>[1]May!I9</f>
        <v>7684.71</v>
      </c>
      <c r="C147" s="51" t="s">
        <v>25</v>
      </c>
      <c r="D147" s="52"/>
    </row>
    <row r="148" spans="1:4" x14ac:dyDescent="0.25">
      <c r="A148" s="8" t="s">
        <v>26</v>
      </c>
      <c r="B148" s="26">
        <f>[1]May!T9</f>
        <v>13566.403960606054</v>
      </c>
      <c r="C148" s="8" t="s">
        <v>27</v>
      </c>
      <c r="D148" s="12">
        <v>46143</v>
      </c>
    </row>
    <row r="149" spans="1:4" x14ac:dyDescent="0.25">
      <c r="A149" s="8" t="s">
        <v>28</v>
      </c>
      <c r="B149" s="27">
        <f>SUM(B146:B148)</f>
        <v>35223.313960606058</v>
      </c>
      <c r="C149" s="8" t="s">
        <v>29</v>
      </c>
      <c r="D149" s="13" t="s">
        <v>30</v>
      </c>
    </row>
    <row r="150" spans="1:4" x14ac:dyDescent="0.25">
      <c r="A150" s="14" t="s">
        <v>31</v>
      </c>
      <c r="B150" s="28">
        <f>B144-B149</f>
        <v>-20851.113960606057</v>
      </c>
      <c r="C150" s="16"/>
      <c r="D150" s="17"/>
    </row>
    <row r="151" spans="1:4" x14ac:dyDescent="0.25">
      <c r="A151" s="25"/>
      <c r="B151" s="25"/>
      <c r="C151" s="25"/>
      <c r="D151" s="25"/>
    </row>
    <row r="152" spans="1:4" x14ac:dyDescent="0.25">
      <c r="A152" s="25"/>
      <c r="B152" s="25"/>
      <c r="C152" s="25"/>
      <c r="D152" s="25"/>
    </row>
    <row r="153" spans="1:4" x14ac:dyDescent="0.25">
      <c r="A153" s="51" t="s">
        <v>0</v>
      </c>
      <c r="B153" s="52"/>
      <c r="C153" s="52"/>
      <c r="D153" s="52"/>
    </row>
    <row r="154" spans="1:4" x14ac:dyDescent="0.25">
      <c r="A154" s="21" t="s">
        <v>32</v>
      </c>
      <c r="B154" s="22" t="s">
        <v>44</v>
      </c>
      <c r="C154" s="21" t="s">
        <v>2</v>
      </c>
      <c r="D154" s="34" t="s">
        <v>45</v>
      </c>
    </row>
    <row r="155" spans="1:4" x14ac:dyDescent="0.25">
      <c r="A155" s="21" t="s">
        <v>1</v>
      </c>
      <c r="B155" s="4" t="str">
        <f>'[1]Yearly sheet'!A10</f>
        <v>Suraj Gupta</v>
      </c>
      <c r="C155" s="21" t="s">
        <v>5</v>
      </c>
      <c r="D155" s="4" t="str">
        <f>'[1]Yearly sheet'!H10</f>
        <v>Everest Bank Ltd.</v>
      </c>
    </row>
    <row r="156" spans="1:4" x14ac:dyDescent="0.25">
      <c r="A156" s="21" t="s">
        <v>4</v>
      </c>
      <c r="B156" s="11" t="str">
        <f>'[1]Yearly sheet'!D10</f>
        <v>Professional Software Developer</v>
      </c>
      <c r="C156" s="21" t="s">
        <v>7</v>
      </c>
      <c r="D156" s="4" t="str">
        <f>'[1]Yearly sheet'!I10</f>
        <v>Maitedevi</v>
      </c>
    </row>
    <row r="157" spans="1:4" x14ac:dyDescent="0.25">
      <c r="A157" s="21" t="s">
        <v>6</v>
      </c>
      <c r="B157" s="4">
        <f>'[1]Yearly sheet'!E10</f>
        <v>126918429</v>
      </c>
      <c r="C157" s="53"/>
      <c r="D157" s="53"/>
    </row>
    <row r="158" spans="1:4" x14ac:dyDescent="0.25">
      <c r="A158" s="21" t="s">
        <v>8</v>
      </c>
      <c r="B158" s="4">
        <f>'[1]Yearly sheet'!C10</f>
        <v>9801504575</v>
      </c>
      <c r="C158" s="24" t="s">
        <v>35</v>
      </c>
      <c r="D158" s="1" t="str">
        <f>'[1]Yearly sheet'!F10</f>
        <v>Unmarried</v>
      </c>
    </row>
    <row r="159" spans="1:4" x14ac:dyDescent="0.25">
      <c r="A159" s="51" t="s">
        <v>9</v>
      </c>
      <c r="B159" s="52"/>
      <c r="C159" s="51" t="s">
        <v>10</v>
      </c>
      <c r="D159" s="52"/>
    </row>
    <row r="160" spans="1:4" x14ac:dyDescent="0.25">
      <c r="A160" s="8" t="s">
        <v>11</v>
      </c>
      <c r="B160" s="26">
        <f>'[1]Yearly sheet'!J10</f>
        <v>69861</v>
      </c>
      <c r="C160" s="8" t="s">
        <v>12</v>
      </c>
      <c r="D160" s="26">
        <f>'[1]Yearly sheet'!AO10</f>
        <v>1249525.2</v>
      </c>
    </row>
    <row r="161" spans="1:4" x14ac:dyDescent="0.25">
      <c r="A161" s="8" t="s">
        <v>13</v>
      </c>
      <c r="B161" s="26">
        <f>'[1]Yearly sheet'!K10</f>
        <v>46574</v>
      </c>
      <c r="C161" s="8" t="s">
        <v>14</v>
      </c>
      <c r="D161" s="26">
        <f>'[1]Yearly sheet'!BB10</f>
        <v>189224.31000000003</v>
      </c>
    </row>
    <row r="162" spans="1:4" x14ac:dyDescent="0.25">
      <c r="A162" s="8" t="s">
        <v>15</v>
      </c>
      <c r="B162" s="27">
        <f>B160+B161</f>
        <v>116435</v>
      </c>
      <c r="C162" s="8" t="s">
        <v>16</v>
      </c>
      <c r="D162" s="26">
        <f>'[1]Yearly sheet'!BZ10</f>
        <v>122282.3404</v>
      </c>
    </row>
    <row r="163" spans="1:4" x14ac:dyDescent="0.25">
      <c r="A163" s="3" t="s">
        <v>17</v>
      </c>
      <c r="B163" s="27">
        <v>400</v>
      </c>
      <c r="C163" s="3" t="s">
        <v>18</v>
      </c>
      <c r="D163" s="27">
        <f>D160-D161-D162</f>
        <v>938018.54959999991</v>
      </c>
    </row>
    <row r="164" spans="1:4" ht="15" customHeight="1" x14ac:dyDescent="0.25">
      <c r="A164" s="11" t="s">
        <v>19</v>
      </c>
      <c r="B164" s="26">
        <f>[1]May!G10</f>
        <v>13972.2</v>
      </c>
      <c r="C164" s="54" t="str">
        <f>C142</f>
        <v xml:space="preserve">*Here, "Annual" denotes the financial year from July 17, 2025 to May 31, 2026. </v>
      </c>
      <c r="D164" s="55"/>
    </row>
    <row r="165" spans="1:4" x14ac:dyDescent="0.25">
      <c r="A165" s="8" t="s">
        <v>21</v>
      </c>
      <c r="B165" s="26">
        <v>0</v>
      </c>
      <c r="C165" s="56"/>
      <c r="D165" s="57"/>
    </row>
    <row r="166" spans="1:4" x14ac:dyDescent="0.25">
      <c r="A166" s="8" t="s">
        <v>22</v>
      </c>
      <c r="B166" s="27">
        <f>B163+B164+B165</f>
        <v>14372.2</v>
      </c>
      <c r="C166" s="56"/>
      <c r="D166" s="57"/>
    </row>
    <row r="167" spans="1:4" x14ac:dyDescent="0.25">
      <c r="A167" s="60" t="s">
        <v>23</v>
      </c>
      <c r="B167" s="52"/>
      <c r="C167" s="56"/>
      <c r="D167" s="57"/>
    </row>
    <row r="168" spans="1:4" x14ac:dyDescent="0.25">
      <c r="A168" s="11" t="s">
        <v>19</v>
      </c>
      <c r="B168" s="26">
        <f>B164</f>
        <v>13972.2</v>
      </c>
      <c r="C168" s="58"/>
      <c r="D168" s="59"/>
    </row>
    <row r="169" spans="1:4" x14ac:dyDescent="0.25">
      <c r="A169" s="11" t="s">
        <v>24</v>
      </c>
      <c r="B169" s="26">
        <f>[1]May!I10</f>
        <v>7684.71</v>
      </c>
      <c r="C169" s="51" t="s">
        <v>25</v>
      </c>
      <c r="D169" s="52"/>
    </row>
    <row r="170" spans="1:4" x14ac:dyDescent="0.25">
      <c r="A170" s="8" t="s">
        <v>26</v>
      </c>
      <c r="B170" s="26">
        <f>[1]May!T10</f>
        <v>15728.567066666659</v>
      </c>
      <c r="C170" s="8" t="s">
        <v>27</v>
      </c>
      <c r="D170" s="12">
        <v>46143</v>
      </c>
    </row>
    <row r="171" spans="1:4" x14ac:dyDescent="0.25">
      <c r="A171" s="8" t="s">
        <v>28</v>
      </c>
      <c r="B171" s="27">
        <f>SUM(B168:B170)</f>
        <v>37385.477066666659</v>
      </c>
      <c r="C171" s="8" t="s">
        <v>29</v>
      </c>
      <c r="D171" s="13" t="s">
        <v>30</v>
      </c>
    </row>
    <row r="172" spans="1:4" x14ac:dyDescent="0.25">
      <c r="A172" s="14" t="s">
        <v>31</v>
      </c>
      <c r="B172" s="28">
        <f>B166-B171</f>
        <v>-23013.277066666658</v>
      </c>
      <c r="C172" s="16"/>
      <c r="D172" s="17"/>
    </row>
    <row r="173" spans="1:4" x14ac:dyDescent="0.25">
      <c r="A173" s="25"/>
      <c r="B173" s="25"/>
      <c r="C173" s="25"/>
      <c r="D173" s="25"/>
    </row>
    <row r="174" spans="1:4" x14ac:dyDescent="0.25">
      <c r="A174" s="25"/>
      <c r="B174" s="25"/>
      <c r="C174" s="25"/>
      <c r="D174" s="25"/>
    </row>
    <row r="175" spans="1:4" x14ac:dyDescent="0.25">
      <c r="A175" s="51" t="s">
        <v>0</v>
      </c>
      <c r="B175" s="52"/>
      <c r="C175" s="52"/>
      <c r="D175" s="52"/>
    </row>
    <row r="176" spans="1:4" x14ac:dyDescent="0.25">
      <c r="A176" s="21" t="s">
        <v>32</v>
      </c>
      <c r="B176" s="22" t="s">
        <v>46</v>
      </c>
      <c r="C176" s="21" t="s">
        <v>2</v>
      </c>
      <c r="D176" s="34" t="s">
        <v>47</v>
      </c>
    </row>
    <row r="177" spans="1:4" x14ac:dyDescent="0.25">
      <c r="A177" s="21" t="s">
        <v>1</v>
      </c>
      <c r="B177" s="4" t="str">
        <f>'[1]Yearly sheet'!A11</f>
        <v>Basu Dev Adhikari</v>
      </c>
      <c r="C177" s="21" t="s">
        <v>5</v>
      </c>
      <c r="D177" s="4" t="str">
        <f>'[1]Yearly sheet'!H11</f>
        <v>Everest Bank Ltd.</v>
      </c>
    </row>
    <row r="178" spans="1:4" x14ac:dyDescent="0.25">
      <c r="A178" s="21" t="s">
        <v>4</v>
      </c>
      <c r="B178" s="11" t="str">
        <f>'[1]Yearly sheet'!D11</f>
        <v>Professional Software Developer</v>
      </c>
      <c r="C178" s="21" t="s">
        <v>7</v>
      </c>
      <c r="D178" s="4" t="str">
        <f>'[1]Yearly sheet'!I11</f>
        <v>Gairidhara</v>
      </c>
    </row>
    <row r="179" spans="1:4" x14ac:dyDescent="0.25">
      <c r="A179" s="21" t="s">
        <v>6</v>
      </c>
      <c r="B179" s="4">
        <f>'[1]Yearly sheet'!E11</f>
        <v>136485133</v>
      </c>
      <c r="C179" s="53"/>
      <c r="D179" s="53"/>
    </row>
    <row r="180" spans="1:4" x14ac:dyDescent="0.25">
      <c r="A180" s="21" t="s">
        <v>8</v>
      </c>
      <c r="B180" s="35">
        <f>'[1]Yearly sheet'!C11</f>
        <v>9863374403</v>
      </c>
      <c r="C180" s="24" t="s">
        <v>35</v>
      </c>
      <c r="D180" s="1" t="str">
        <f>'[1]Yearly sheet'!F11</f>
        <v>Married</v>
      </c>
    </row>
    <row r="181" spans="1:4" x14ac:dyDescent="0.25">
      <c r="A181" s="51" t="s">
        <v>9</v>
      </c>
      <c r="B181" s="52"/>
      <c r="C181" s="51" t="s">
        <v>10</v>
      </c>
      <c r="D181" s="52"/>
    </row>
    <row r="182" spans="1:4" x14ac:dyDescent="0.25">
      <c r="A182" s="8" t="s">
        <v>11</v>
      </c>
      <c r="B182" s="26">
        <f>'[1]Yearly sheet'!J11</f>
        <v>73254</v>
      </c>
      <c r="C182" s="8" t="s">
        <v>12</v>
      </c>
      <c r="D182" s="26">
        <f>'[1]Yearly sheet'!AO11</f>
        <v>1257547.9875</v>
      </c>
    </row>
    <row r="183" spans="1:4" x14ac:dyDescent="0.25">
      <c r="A183" s="8" t="s">
        <v>13</v>
      </c>
      <c r="B183" s="26">
        <f>'[1]Yearly sheet'!K11</f>
        <v>48836</v>
      </c>
      <c r="C183" s="8" t="s">
        <v>14</v>
      </c>
      <c r="D183" s="26">
        <f>'[1]Yearly sheet'!BB11</f>
        <v>190276.14</v>
      </c>
    </row>
    <row r="184" spans="1:4" x14ac:dyDescent="0.25">
      <c r="A184" s="8" t="s">
        <v>15</v>
      </c>
      <c r="B184" s="27">
        <f>B182+B183</f>
        <v>122090</v>
      </c>
      <c r="C184" s="8" t="s">
        <v>16</v>
      </c>
      <c r="D184" s="26">
        <f>'[1]Yearly sheet'!BZ11</f>
        <v>112134.05259999998</v>
      </c>
    </row>
    <row r="185" spans="1:4" x14ac:dyDescent="0.25">
      <c r="A185" s="3" t="s">
        <v>17</v>
      </c>
      <c r="B185" s="27">
        <v>400</v>
      </c>
      <c r="C185" s="3" t="s">
        <v>18</v>
      </c>
      <c r="D185" s="27">
        <f>D182-D183-D184</f>
        <v>955137.79490000021</v>
      </c>
    </row>
    <row r="186" spans="1:4" ht="15" customHeight="1" x14ac:dyDescent="0.25">
      <c r="A186" s="11" t="s">
        <v>19</v>
      </c>
      <c r="B186" s="26">
        <f>[1]May!G11</f>
        <v>14650.800000000001</v>
      </c>
      <c r="C186" s="54" t="str">
        <f>C164</f>
        <v xml:space="preserve">*Here, "Annual" denotes the financial year from July 17, 2025 to May 31, 2026. </v>
      </c>
      <c r="D186" s="55"/>
    </row>
    <row r="187" spans="1:4" x14ac:dyDescent="0.25">
      <c r="A187" s="8" t="s">
        <v>21</v>
      </c>
      <c r="B187" s="26">
        <f>[1]May!F11</f>
        <v>0</v>
      </c>
      <c r="C187" s="56"/>
      <c r="D187" s="57"/>
    </row>
    <row r="188" spans="1:4" x14ac:dyDescent="0.25">
      <c r="A188" s="8" t="s">
        <v>22</v>
      </c>
      <c r="B188" s="27">
        <f>B185+B186+B187</f>
        <v>15050.800000000001</v>
      </c>
      <c r="C188" s="56"/>
      <c r="D188" s="57"/>
    </row>
    <row r="189" spans="1:4" x14ac:dyDescent="0.25">
      <c r="A189" s="60" t="s">
        <v>23</v>
      </c>
      <c r="B189" s="52"/>
      <c r="C189" s="56"/>
      <c r="D189" s="57"/>
    </row>
    <row r="190" spans="1:4" x14ac:dyDescent="0.25">
      <c r="A190" s="11" t="s">
        <v>19</v>
      </c>
      <c r="B190" s="26">
        <f>B186</f>
        <v>14650.800000000001</v>
      </c>
      <c r="C190" s="58"/>
      <c r="D190" s="59"/>
    </row>
    <row r="191" spans="1:4" x14ac:dyDescent="0.25">
      <c r="A191" s="11" t="s">
        <v>24</v>
      </c>
      <c r="B191" s="26">
        <f>[1]May!I11</f>
        <v>8057.94</v>
      </c>
      <c r="C191" s="51" t="s">
        <v>25</v>
      </c>
      <c r="D191" s="52"/>
    </row>
    <row r="192" spans="1:4" x14ac:dyDescent="0.25">
      <c r="A192" s="8" t="s">
        <v>26</v>
      </c>
      <c r="B192" s="26">
        <f>[1]May!T11</f>
        <v>5435.4917666666324</v>
      </c>
      <c r="C192" s="8" t="s">
        <v>27</v>
      </c>
      <c r="D192" s="12">
        <v>46143</v>
      </c>
    </row>
    <row r="193" spans="1:4" x14ac:dyDescent="0.25">
      <c r="A193" s="8" t="s">
        <v>28</v>
      </c>
      <c r="B193" s="27">
        <f>SUM(B190:B192)</f>
        <v>28144.231766666635</v>
      </c>
      <c r="C193" s="8" t="s">
        <v>29</v>
      </c>
      <c r="D193" s="13" t="s">
        <v>30</v>
      </c>
    </row>
    <row r="194" spans="1:4" x14ac:dyDescent="0.25">
      <c r="A194" s="14" t="s">
        <v>31</v>
      </c>
      <c r="B194" s="28">
        <f>B188-B193</f>
        <v>-13093.431766666634</v>
      </c>
      <c r="C194" s="16"/>
      <c r="D194" s="17"/>
    </row>
    <row r="195" spans="1:4" x14ac:dyDescent="0.25">
      <c r="A195" s="25"/>
      <c r="B195" s="25"/>
      <c r="C195" s="25"/>
      <c r="D195" s="25"/>
    </row>
    <row r="196" spans="1:4" x14ac:dyDescent="0.25">
      <c r="A196" s="25"/>
      <c r="B196" s="25"/>
      <c r="C196" s="25"/>
      <c r="D196" s="25"/>
    </row>
    <row r="197" spans="1:4" x14ac:dyDescent="0.25">
      <c r="A197" s="51" t="s">
        <v>0</v>
      </c>
      <c r="B197" s="52"/>
      <c r="C197" s="52"/>
      <c r="D197" s="52"/>
    </row>
    <row r="198" spans="1:4" x14ac:dyDescent="0.25">
      <c r="A198" s="21" t="s">
        <v>32</v>
      </c>
      <c r="B198" s="22" t="s">
        <v>48</v>
      </c>
      <c r="C198" s="21" t="s">
        <v>2</v>
      </c>
      <c r="D198" s="33" t="s">
        <v>49</v>
      </c>
    </row>
    <row r="199" spans="1:4" x14ac:dyDescent="0.25">
      <c r="A199" s="21" t="s">
        <v>1</v>
      </c>
      <c r="B199" s="4" t="str">
        <f>'[1]Yearly sheet'!A12</f>
        <v>Pravesh Shrestha</v>
      </c>
      <c r="C199" s="21" t="s">
        <v>5</v>
      </c>
      <c r="D199" s="4" t="str">
        <f>'[1]Yearly sheet'!H12</f>
        <v>Everest Bank Ltd.</v>
      </c>
    </row>
    <row r="200" spans="1:4" x14ac:dyDescent="0.25">
      <c r="A200" s="21" t="s">
        <v>4</v>
      </c>
      <c r="B200" s="11" t="str">
        <f>'[1]Yearly sheet'!D12</f>
        <v>Junior Big Data DevOps Engineer</v>
      </c>
      <c r="C200" s="21" t="s">
        <v>7</v>
      </c>
      <c r="D200" s="4" t="str">
        <f>'[1]Yearly sheet'!I12</f>
        <v>Balaju</v>
      </c>
    </row>
    <row r="201" spans="1:4" x14ac:dyDescent="0.25">
      <c r="A201" s="21" t="s">
        <v>6</v>
      </c>
      <c r="B201" s="4">
        <f>'[1]Yearly sheet'!E12</f>
        <v>109502937</v>
      </c>
      <c r="C201" s="53"/>
      <c r="D201" s="53"/>
    </row>
    <row r="202" spans="1:4" x14ac:dyDescent="0.25">
      <c r="A202" s="21" t="s">
        <v>8</v>
      </c>
      <c r="B202" s="4">
        <f>'[1]Yearly sheet'!C12</f>
        <v>9860176014</v>
      </c>
      <c r="C202" s="24" t="s">
        <v>35</v>
      </c>
      <c r="D202" s="1" t="str">
        <f>'[1]Yearly sheet'!F12</f>
        <v>Unmarried</v>
      </c>
    </row>
    <row r="203" spans="1:4" x14ac:dyDescent="0.25">
      <c r="A203" s="51" t="s">
        <v>9</v>
      </c>
      <c r="B203" s="52"/>
      <c r="C203" s="51" t="s">
        <v>10</v>
      </c>
      <c r="D203" s="52"/>
    </row>
    <row r="204" spans="1:4" x14ac:dyDescent="0.25">
      <c r="A204" s="8" t="s">
        <v>11</v>
      </c>
      <c r="B204" s="26">
        <f>'[1]Yearly sheet'!J12</f>
        <v>32370</v>
      </c>
      <c r="C204" s="8" t="s">
        <v>12</v>
      </c>
      <c r="D204" s="26">
        <f>'[1]Yearly sheet'!AO12</f>
        <v>664798.875</v>
      </c>
    </row>
    <row r="205" spans="1:4" x14ac:dyDescent="0.25">
      <c r="A205" s="8" t="s">
        <v>13</v>
      </c>
      <c r="B205" s="26">
        <f>'[1]Yearly sheet'!K12</f>
        <v>21580</v>
      </c>
      <c r="C205" s="8" t="s">
        <v>14</v>
      </c>
      <c r="D205" s="26">
        <f>'[1]Yearly sheet'!BB12</f>
        <v>100346.99999999999</v>
      </c>
    </row>
    <row r="206" spans="1:4" x14ac:dyDescent="0.25">
      <c r="A206" s="8" t="s">
        <v>15</v>
      </c>
      <c r="B206" s="27">
        <f>B204+B205</f>
        <v>53950</v>
      </c>
      <c r="C206" s="8" t="s">
        <v>16</v>
      </c>
      <c r="D206" s="26">
        <f>'[1]Yearly sheet'!BZ12</f>
        <v>12079.420909090908</v>
      </c>
    </row>
    <row r="207" spans="1:4" x14ac:dyDescent="0.25">
      <c r="A207" s="3" t="s">
        <v>17</v>
      </c>
      <c r="B207" s="27">
        <v>400</v>
      </c>
      <c r="C207" s="3" t="s">
        <v>18</v>
      </c>
      <c r="D207" s="27">
        <f>D204-D205-D206</f>
        <v>552372.4540909091</v>
      </c>
    </row>
    <row r="208" spans="1:4" ht="15" customHeight="1" x14ac:dyDescent="0.25">
      <c r="A208" s="11" t="s">
        <v>19</v>
      </c>
      <c r="B208" s="26">
        <f>[1]May!G12</f>
        <v>6474</v>
      </c>
      <c r="C208" s="54" t="str">
        <f>C186</f>
        <v xml:space="preserve">*Here, "Annual" denotes the financial year from July 17, 2025 to May 31, 2026. </v>
      </c>
      <c r="D208" s="55"/>
    </row>
    <row r="209" spans="1:4" x14ac:dyDescent="0.25">
      <c r="A209" s="8" t="s">
        <v>21</v>
      </c>
      <c r="B209" s="26">
        <v>0</v>
      </c>
      <c r="C209" s="56"/>
      <c r="D209" s="57"/>
    </row>
    <row r="210" spans="1:4" x14ac:dyDescent="0.25">
      <c r="A210" s="8" t="s">
        <v>22</v>
      </c>
      <c r="B210" s="27">
        <f>B207+B208+B209</f>
        <v>6874</v>
      </c>
      <c r="C210" s="56"/>
      <c r="D210" s="57"/>
    </row>
    <row r="211" spans="1:4" x14ac:dyDescent="0.25">
      <c r="A211" s="60" t="s">
        <v>23</v>
      </c>
      <c r="B211" s="52"/>
      <c r="C211" s="56"/>
      <c r="D211" s="57"/>
    </row>
    <row r="212" spans="1:4" x14ac:dyDescent="0.25">
      <c r="A212" s="11" t="s">
        <v>19</v>
      </c>
      <c r="B212" s="26">
        <f>B208</f>
        <v>6474</v>
      </c>
      <c r="C212" s="58"/>
      <c r="D212" s="59"/>
    </row>
    <row r="213" spans="1:4" x14ac:dyDescent="0.25">
      <c r="A213" s="11" t="s">
        <v>24</v>
      </c>
      <c r="B213" s="26">
        <f>[1]May!I12</f>
        <v>3560.7</v>
      </c>
      <c r="C213" s="51" t="s">
        <v>25</v>
      </c>
      <c r="D213" s="52"/>
    </row>
    <row r="214" spans="1:4" x14ac:dyDescent="0.25">
      <c r="A214" s="8" t="s">
        <v>26</v>
      </c>
      <c r="B214" s="26">
        <f>[1]May!T12</f>
        <v>1164.0843939393933</v>
      </c>
      <c r="C214" s="8" t="s">
        <v>27</v>
      </c>
      <c r="D214" s="12">
        <v>46143</v>
      </c>
    </row>
    <row r="215" spans="1:4" x14ac:dyDescent="0.25">
      <c r="A215" s="8" t="s">
        <v>28</v>
      </c>
      <c r="B215" s="27">
        <f>SUM(B212:B214)</f>
        <v>11198.784393939393</v>
      </c>
      <c r="C215" s="8" t="s">
        <v>29</v>
      </c>
      <c r="D215" s="13" t="s">
        <v>30</v>
      </c>
    </row>
    <row r="216" spans="1:4" x14ac:dyDescent="0.25">
      <c r="A216" s="14" t="s">
        <v>31</v>
      </c>
      <c r="B216" s="28">
        <f>B210-B215</f>
        <v>-4324.7843939393933</v>
      </c>
      <c r="C216" s="16"/>
      <c r="D216" s="17"/>
    </row>
    <row r="217" spans="1:4" x14ac:dyDescent="0.25">
      <c r="A217" s="25"/>
      <c r="B217" s="25"/>
      <c r="C217" s="25"/>
      <c r="D217" s="25"/>
    </row>
    <row r="218" spans="1:4" hidden="1" x14ac:dyDescent="0.25">
      <c r="A218" s="25"/>
      <c r="B218" s="25"/>
      <c r="C218" s="25"/>
      <c r="D218" s="25"/>
    </row>
    <row r="219" spans="1:4" hidden="1" x14ac:dyDescent="0.25">
      <c r="A219" s="51" t="s">
        <v>0</v>
      </c>
      <c r="B219" s="52"/>
      <c r="C219" s="52"/>
      <c r="D219" s="52"/>
    </row>
    <row r="220" spans="1:4" hidden="1" x14ac:dyDescent="0.25">
      <c r="A220" s="21" t="s">
        <v>32</v>
      </c>
      <c r="B220" s="22" t="s">
        <v>82</v>
      </c>
      <c r="C220" s="21" t="s">
        <v>2</v>
      </c>
      <c r="D220" s="33" t="s">
        <v>83</v>
      </c>
    </row>
    <row r="221" spans="1:4" hidden="1" x14ac:dyDescent="0.25">
      <c r="A221" s="21" t="s">
        <v>1</v>
      </c>
      <c r="B221" s="4" t="str">
        <f>'[1]Yearly sheet'!A13</f>
        <v>Isha Shrestha</v>
      </c>
      <c r="C221" s="21" t="s">
        <v>5</v>
      </c>
      <c r="D221" s="4" t="str">
        <f>'[1]Yearly sheet'!H13</f>
        <v>Everest Bank Ltd.</v>
      </c>
    </row>
    <row r="222" spans="1:4" hidden="1" x14ac:dyDescent="0.25">
      <c r="A222" s="21" t="s">
        <v>4</v>
      </c>
      <c r="B222" s="11" t="str">
        <f>'[1]Yearly sheet'!D13</f>
        <v>Junior Big Data DevOps Engineer</v>
      </c>
      <c r="C222" s="21" t="s">
        <v>7</v>
      </c>
      <c r="D222" s="4" t="str">
        <f>'[1]Yearly sheet'!I13</f>
        <v>Pulchowk</v>
      </c>
    </row>
    <row r="223" spans="1:4" hidden="1" x14ac:dyDescent="0.25">
      <c r="A223" s="21" t="s">
        <v>6</v>
      </c>
      <c r="B223" s="4">
        <f>'[1]Yearly sheet'!E13</f>
        <v>113998704</v>
      </c>
      <c r="C223" s="53"/>
      <c r="D223" s="53"/>
    </row>
    <row r="224" spans="1:4" hidden="1" x14ac:dyDescent="0.25">
      <c r="A224" s="21" t="s">
        <v>8</v>
      </c>
      <c r="B224" s="4">
        <f>'[1]Yearly sheet'!C13</f>
        <v>9818551254</v>
      </c>
      <c r="C224" s="24" t="s">
        <v>35</v>
      </c>
      <c r="D224" s="1" t="str">
        <f>'[1]Yearly sheet'!F13</f>
        <v>Unmarried</v>
      </c>
    </row>
    <row r="225" spans="1:4" hidden="1" x14ac:dyDescent="0.25">
      <c r="A225" s="51" t="s">
        <v>9</v>
      </c>
      <c r="B225" s="52"/>
      <c r="C225" s="51" t="s">
        <v>10</v>
      </c>
      <c r="D225" s="52"/>
    </row>
    <row r="226" spans="1:4" hidden="1" x14ac:dyDescent="0.25">
      <c r="A226" s="8" t="s">
        <v>11</v>
      </c>
      <c r="B226" s="26">
        <f>'[1]Yearly sheet'!J13</f>
        <v>47892</v>
      </c>
      <c r="C226" s="8" t="s">
        <v>12</v>
      </c>
      <c r="D226" s="26">
        <f>'[1]Yearly sheet'!AO13</f>
        <v>521384.24</v>
      </c>
    </row>
    <row r="227" spans="1:4" hidden="1" x14ac:dyDescent="0.25">
      <c r="A227" s="8" t="s">
        <v>13</v>
      </c>
      <c r="B227" s="26">
        <f>'[1]Yearly sheet'!K13</f>
        <v>31928</v>
      </c>
      <c r="C227" s="8" t="s">
        <v>14</v>
      </c>
      <c r="D227" s="26">
        <f>'[1]Yearly sheet'!BB13</f>
        <v>72005.622000000003</v>
      </c>
    </row>
    <row r="228" spans="1:4" hidden="1" x14ac:dyDescent="0.25">
      <c r="A228" s="8" t="s">
        <v>15</v>
      </c>
      <c r="B228" s="27">
        <f>B226+B227</f>
        <v>79820</v>
      </c>
      <c r="C228" s="8" t="s">
        <v>16</v>
      </c>
      <c r="D228" s="26">
        <f>'[1]Yearly sheet'!BZ13</f>
        <v>23119.734514285719</v>
      </c>
    </row>
    <row r="229" spans="1:4" hidden="1" x14ac:dyDescent="0.25">
      <c r="A229" s="3" t="s">
        <v>17</v>
      </c>
      <c r="B229" s="27">
        <f>[1]Dec!E13</f>
        <v>67847</v>
      </c>
      <c r="C229" s="3" t="s">
        <v>18</v>
      </c>
      <c r="D229" s="27">
        <f>D226-D227-D228</f>
        <v>426258.88348571432</v>
      </c>
    </row>
    <row r="230" spans="1:4" ht="15" hidden="1" customHeight="1" x14ac:dyDescent="0.25">
      <c r="A230" s="11" t="s">
        <v>19</v>
      </c>
      <c r="B230" s="26">
        <f>[1]Dec!G13</f>
        <v>8141.6399999999994</v>
      </c>
      <c r="C230" s="54" t="str">
        <f>C208</f>
        <v xml:space="preserve">*Here, "Annual" denotes the financial year from July 17, 2025 to May 31, 2026. </v>
      </c>
      <c r="D230" s="55"/>
    </row>
    <row r="231" spans="1:4" hidden="1" x14ac:dyDescent="0.25">
      <c r="A231" s="8" t="s">
        <v>21</v>
      </c>
      <c r="B231" s="26">
        <v>0</v>
      </c>
      <c r="C231" s="56"/>
      <c r="D231" s="57"/>
    </row>
    <row r="232" spans="1:4" hidden="1" x14ac:dyDescent="0.25">
      <c r="A232" s="8" t="s">
        <v>22</v>
      </c>
      <c r="B232" s="27">
        <f>B229+B230+B231</f>
        <v>75988.639999999999</v>
      </c>
      <c r="C232" s="56"/>
      <c r="D232" s="57"/>
    </row>
    <row r="233" spans="1:4" hidden="1" x14ac:dyDescent="0.25">
      <c r="A233" s="60" t="s">
        <v>23</v>
      </c>
      <c r="B233" s="52"/>
      <c r="C233" s="56"/>
      <c r="D233" s="57"/>
    </row>
    <row r="234" spans="1:4" hidden="1" x14ac:dyDescent="0.25">
      <c r="A234" s="11" t="s">
        <v>19</v>
      </c>
      <c r="B234" s="26">
        <f>B230</f>
        <v>8141.6399999999994</v>
      </c>
      <c r="C234" s="58"/>
      <c r="D234" s="59"/>
    </row>
    <row r="235" spans="1:4" hidden="1" x14ac:dyDescent="0.25">
      <c r="A235" s="11" t="s">
        <v>24</v>
      </c>
      <c r="B235" s="26">
        <f>[1]Dec!I13</f>
        <v>4477.902</v>
      </c>
      <c r="C235" s="51" t="s">
        <v>25</v>
      </c>
      <c r="D235" s="52"/>
    </row>
    <row r="236" spans="1:4" hidden="1" x14ac:dyDescent="0.25">
      <c r="A236" s="8" t="s">
        <v>26</v>
      </c>
      <c r="B236" s="26">
        <f>[1]Dec!T13</f>
        <v>0</v>
      </c>
      <c r="C236" s="8" t="s">
        <v>27</v>
      </c>
      <c r="D236" s="36" t="s">
        <v>84</v>
      </c>
    </row>
    <row r="237" spans="1:4" hidden="1" x14ac:dyDescent="0.25">
      <c r="A237" s="8" t="s">
        <v>28</v>
      </c>
      <c r="B237" s="27">
        <f>SUM(B234:B236)</f>
        <v>12619.541999999999</v>
      </c>
      <c r="C237" s="8" t="s">
        <v>29</v>
      </c>
      <c r="D237" s="13" t="s">
        <v>30</v>
      </c>
    </row>
    <row r="238" spans="1:4" hidden="1" x14ac:dyDescent="0.25">
      <c r="A238" s="14" t="s">
        <v>31</v>
      </c>
      <c r="B238" s="28">
        <f>B232-B237</f>
        <v>63369.097999999998</v>
      </c>
      <c r="C238" s="16"/>
      <c r="D238" s="17"/>
    </row>
    <row r="239" spans="1:4" hidden="1" x14ac:dyDescent="0.25">
      <c r="A239" s="25"/>
      <c r="B239" s="25"/>
      <c r="C239" s="25"/>
      <c r="D239" s="25"/>
    </row>
    <row r="240" spans="1:4" x14ac:dyDescent="0.25">
      <c r="A240" s="25"/>
      <c r="B240" s="25"/>
      <c r="C240" s="25"/>
      <c r="D240" s="25"/>
    </row>
    <row r="241" spans="1:4" x14ac:dyDescent="0.25">
      <c r="A241" s="51" t="s">
        <v>0</v>
      </c>
      <c r="B241" s="52"/>
      <c r="C241" s="52"/>
      <c r="D241" s="52"/>
    </row>
    <row r="242" spans="1:4" x14ac:dyDescent="0.25">
      <c r="A242" s="21" t="s">
        <v>32</v>
      </c>
      <c r="B242" s="22" t="s">
        <v>50</v>
      </c>
      <c r="C242" s="21" t="s">
        <v>2</v>
      </c>
      <c r="D242" s="37" t="s">
        <v>51</v>
      </c>
    </row>
    <row r="243" spans="1:4" x14ac:dyDescent="0.25">
      <c r="A243" s="21" t="s">
        <v>1</v>
      </c>
      <c r="B243" s="4" t="str">
        <f>'[1]Yearly sheet'!A14</f>
        <v>Tejan Shrestha</v>
      </c>
      <c r="C243" s="21" t="s">
        <v>5</v>
      </c>
      <c r="D243" s="4" t="str">
        <f>'[1]Yearly sheet'!H14</f>
        <v>Everest Bank Ltd.</v>
      </c>
    </row>
    <row r="244" spans="1:4" x14ac:dyDescent="0.25">
      <c r="A244" s="21" t="s">
        <v>4</v>
      </c>
      <c r="B244" s="11" t="str">
        <f>'[1]Yearly sheet'!D14</f>
        <v>Junior Big Data DevOps Engineer</v>
      </c>
      <c r="C244" s="21" t="s">
        <v>7</v>
      </c>
      <c r="D244" s="4" t="str">
        <f>'[1]Yearly sheet'!I14</f>
        <v>Balaju</v>
      </c>
    </row>
    <row r="245" spans="1:4" x14ac:dyDescent="0.25">
      <c r="A245" s="21" t="s">
        <v>6</v>
      </c>
      <c r="B245" s="4">
        <f>'[1]Yearly sheet'!E14</f>
        <v>123964359</v>
      </c>
      <c r="C245" s="53"/>
      <c r="D245" s="53"/>
    </row>
    <row r="246" spans="1:4" x14ac:dyDescent="0.25">
      <c r="A246" s="21" t="s">
        <v>8</v>
      </c>
      <c r="B246" s="4">
        <f>'[1]Yearly sheet'!C14</f>
        <v>9818575397</v>
      </c>
      <c r="C246" s="24" t="s">
        <v>35</v>
      </c>
      <c r="D246" s="1" t="str">
        <f>'[1]Yearly sheet'!F14</f>
        <v>Unmarried</v>
      </c>
    </row>
    <row r="247" spans="1:4" x14ac:dyDescent="0.25">
      <c r="A247" s="51" t="s">
        <v>9</v>
      </c>
      <c r="B247" s="52"/>
      <c r="C247" s="51" t="s">
        <v>10</v>
      </c>
      <c r="D247" s="52"/>
    </row>
    <row r="248" spans="1:4" x14ac:dyDescent="0.25">
      <c r="A248" s="8" t="s">
        <v>11</v>
      </c>
      <c r="B248" s="26">
        <f>'[1]Yearly sheet'!J14</f>
        <v>48282</v>
      </c>
      <c r="C248" s="8" t="s">
        <v>12</v>
      </c>
      <c r="D248" s="26">
        <f>'[1]Yearly sheet'!AO14</f>
        <v>1021891.30625</v>
      </c>
    </row>
    <row r="249" spans="1:4" x14ac:dyDescent="0.25">
      <c r="A249" s="8" t="s">
        <v>13</v>
      </c>
      <c r="B249" s="26">
        <f>'[1]Yearly sheet'!K14</f>
        <v>32188</v>
      </c>
      <c r="C249" s="8" t="s">
        <v>14</v>
      </c>
      <c r="D249" s="26">
        <f>'[1]Yearly sheet'!BB14</f>
        <v>153678.78</v>
      </c>
    </row>
    <row r="250" spans="1:4" x14ac:dyDescent="0.25">
      <c r="A250" s="8" t="s">
        <v>15</v>
      </c>
      <c r="B250" s="27">
        <f>B248+B249</f>
        <v>80470</v>
      </c>
      <c r="C250" s="8" t="s">
        <v>16</v>
      </c>
      <c r="D250" s="26">
        <f>'[1]Yearly sheet'!BZ14</f>
        <v>66507.896590259756</v>
      </c>
    </row>
    <row r="251" spans="1:4" x14ac:dyDescent="0.25">
      <c r="A251" s="3" t="s">
        <v>17</v>
      </c>
      <c r="B251" s="27">
        <v>400</v>
      </c>
      <c r="C251" s="3" t="s">
        <v>18</v>
      </c>
      <c r="D251" s="27">
        <f>D248-D249-D250</f>
        <v>801704.62965974025</v>
      </c>
    </row>
    <row r="252" spans="1:4" ht="15" customHeight="1" x14ac:dyDescent="0.25">
      <c r="A252" s="11" t="s">
        <v>19</v>
      </c>
      <c r="B252" s="26">
        <f>[1]May!G14</f>
        <v>12240</v>
      </c>
      <c r="C252" s="54" t="str">
        <f>C230</f>
        <v xml:space="preserve">*Here, "Annual" denotes the financial year from July 17, 2025 to May 31, 2026. </v>
      </c>
      <c r="D252" s="55"/>
    </row>
    <row r="253" spans="1:4" x14ac:dyDescent="0.25">
      <c r="A253" s="8" t="s">
        <v>21</v>
      </c>
      <c r="B253" s="26">
        <f>[1]May!F14</f>
        <v>0</v>
      </c>
      <c r="C253" s="56"/>
      <c r="D253" s="57"/>
    </row>
    <row r="254" spans="1:4" x14ac:dyDescent="0.25">
      <c r="A254" s="8" t="s">
        <v>22</v>
      </c>
      <c r="B254" s="27">
        <f>B251+B252+B253</f>
        <v>12640</v>
      </c>
      <c r="C254" s="56"/>
      <c r="D254" s="57"/>
    </row>
    <row r="255" spans="1:4" x14ac:dyDescent="0.25">
      <c r="A255" s="60" t="s">
        <v>23</v>
      </c>
      <c r="B255" s="52"/>
      <c r="C255" s="56"/>
      <c r="D255" s="57"/>
    </row>
    <row r="256" spans="1:4" x14ac:dyDescent="0.25">
      <c r="A256" s="11" t="s">
        <v>19</v>
      </c>
      <c r="B256" s="26">
        <f>B252</f>
        <v>12240</v>
      </c>
      <c r="C256" s="58"/>
      <c r="D256" s="59"/>
    </row>
    <row r="257" spans="1:4" x14ac:dyDescent="0.25">
      <c r="A257" s="11" t="s">
        <v>24</v>
      </c>
      <c r="B257" s="26">
        <f>[1]May!I14</f>
        <v>6732</v>
      </c>
      <c r="C257" s="51" t="s">
        <v>25</v>
      </c>
      <c r="D257" s="52"/>
    </row>
    <row r="258" spans="1:4" x14ac:dyDescent="0.25">
      <c r="A258" s="8" t="s">
        <v>26</v>
      </c>
      <c r="B258" s="26">
        <f>[1]May!T14</f>
        <v>10400.440856493518</v>
      </c>
      <c r="C258" s="8" t="s">
        <v>27</v>
      </c>
      <c r="D258" s="12">
        <v>46143</v>
      </c>
    </row>
    <row r="259" spans="1:4" x14ac:dyDescent="0.25">
      <c r="A259" s="8" t="s">
        <v>28</v>
      </c>
      <c r="B259" s="27">
        <f>SUM(B256:B258)</f>
        <v>29372.440856493518</v>
      </c>
      <c r="C259" s="8" t="s">
        <v>29</v>
      </c>
      <c r="D259" s="13" t="s">
        <v>30</v>
      </c>
    </row>
    <row r="260" spans="1:4" x14ac:dyDescent="0.25">
      <c r="A260" s="14" t="s">
        <v>31</v>
      </c>
      <c r="B260" s="28">
        <f>B254-B259</f>
        <v>-16732.440856493518</v>
      </c>
      <c r="C260" s="16"/>
      <c r="D260" s="17"/>
    </row>
    <row r="261" spans="1:4" x14ac:dyDescent="0.25">
      <c r="A261" s="18"/>
      <c r="B261" s="38"/>
      <c r="C261" s="18"/>
      <c r="D261" s="20"/>
    </row>
    <row r="262" spans="1:4" hidden="1" x14ac:dyDescent="0.25">
      <c r="A262" s="18"/>
      <c r="B262" s="38"/>
      <c r="C262" s="18"/>
      <c r="D262" s="20"/>
    </row>
    <row r="263" spans="1:4" hidden="1" x14ac:dyDescent="0.25">
      <c r="A263" s="51" t="s">
        <v>0</v>
      </c>
      <c r="B263" s="52"/>
      <c r="C263" s="52"/>
      <c r="D263" s="52"/>
    </row>
    <row r="264" spans="1:4" hidden="1" x14ac:dyDescent="0.25">
      <c r="A264" s="21" t="s">
        <v>32</v>
      </c>
      <c r="B264" s="22" t="s">
        <v>85</v>
      </c>
      <c r="C264" s="21" t="s">
        <v>2</v>
      </c>
      <c r="D264" s="39">
        <f>'[1]Yearly sheet_Assumed'!G15</f>
        <v>8100501201758</v>
      </c>
    </row>
    <row r="265" spans="1:4" hidden="1" x14ac:dyDescent="0.25">
      <c r="A265" s="21" t="s">
        <v>1</v>
      </c>
      <c r="B265" s="4" t="str">
        <f>'[1]Yearly sheet_Assumed'!A15</f>
        <v>Sujan Gyawali</v>
      </c>
      <c r="C265" s="21" t="s">
        <v>5</v>
      </c>
      <c r="D265" s="4" t="str">
        <f>'[1]Yearly sheet_Assumed'!H15</f>
        <v>Everest Bank Ltd.</v>
      </c>
    </row>
    <row r="266" spans="1:4" hidden="1" x14ac:dyDescent="0.25">
      <c r="A266" s="21" t="s">
        <v>4</v>
      </c>
      <c r="B266" s="11" t="str">
        <f>'[1]Yearly sheet_Assumed'!D15</f>
        <v>Senior Databricks Data Engineer</v>
      </c>
      <c r="C266" s="21" t="s">
        <v>7</v>
      </c>
      <c r="D266" s="4" t="str">
        <f>'[1]Yearly sheet_Assumed'!I15</f>
        <v>Gairidhara</v>
      </c>
    </row>
    <row r="267" spans="1:4" hidden="1" x14ac:dyDescent="0.25">
      <c r="A267" s="21" t="s">
        <v>6</v>
      </c>
      <c r="B267" s="4">
        <f>'[1]Yearly sheet_Assumed'!E15</f>
        <v>128267101</v>
      </c>
      <c r="C267" s="53"/>
      <c r="D267" s="53"/>
    </row>
    <row r="268" spans="1:4" hidden="1" x14ac:dyDescent="0.25">
      <c r="A268" s="21" t="s">
        <v>8</v>
      </c>
      <c r="B268" s="4">
        <f>'[1]Yearly sheet_Assumed'!C15</f>
        <v>9867182879</v>
      </c>
      <c r="C268" s="24" t="s">
        <v>35</v>
      </c>
      <c r="D268" s="1" t="str">
        <f>'[1]Yearly sheet_Assumed'!F15</f>
        <v>Unmarried</v>
      </c>
    </row>
    <row r="269" spans="1:4" hidden="1" x14ac:dyDescent="0.25">
      <c r="A269" s="51" t="s">
        <v>9</v>
      </c>
      <c r="B269" s="52"/>
      <c r="C269" s="51" t="s">
        <v>10</v>
      </c>
      <c r="D269" s="52"/>
    </row>
    <row r="270" spans="1:4" hidden="1" x14ac:dyDescent="0.25">
      <c r="A270" s="8" t="s">
        <v>11</v>
      </c>
      <c r="B270" s="26">
        <f>'[1]Yearly sheet_Assumed'!J15</f>
        <v>119964</v>
      </c>
      <c r="C270" s="8" t="s">
        <v>12</v>
      </c>
      <c r="D270" s="26">
        <f>'[1]Yearly sheet'!AO15</f>
        <v>1667545.040909091</v>
      </c>
    </row>
    <row r="271" spans="1:4" hidden="1" x14ac:dyDescent="0.25">
      <c r="A271" s="8" t="s">
        <v>13</v>
      </c>
      <c r="B271" s="26">
        <f>'[1]Yearly sheet_Assumed'!K15</f>
        <v>79976</v>
      </c>
      <c r="C271" s="8" t="s">
        <v>14</v>
      </c>
      <c r="D271" s="26">
        <f>'[1]Yearly sheet'!BB15</f>
        <v>283987.50545454549</v>
      </c>
    </row>
    <row r="272" spans="1:4" hidden="1" x14ac:dyDescent="0.25">
      <c r="A272" s="8" t="s">
        <v>15</v>
      </c>
      <c r="B272" s="27">
        <f>B270+B271</f>
        <v>199940</v>
      </c>
      <c r="C272" s="8" t="s">
        <v>16</v>
      </c>
      <c r="D272" s="26">
        <f>'[1]Yearly sheet'!BZ15</f>
        <v>235678.59533333324</v>
      </c>
    </row>
    <row r="273" spans="1:4" hidden="1" x14ac:dyDescent="0.25">
      <c r="A273" s="3" t="s">
        <v>17</v>
      </c>
      <c r="B273" s="27">
        <f>[1]May!E15</f>
        <v>0</v>
      </c>
      <c r="C273" s="3" t="s">
        <v>18</v>
      </c>
      <c r="D273" s="27">
        <f>D270-D271-D272</f>
        <v>1147878.9401212125</v>
      </c>
    </row>
    <row r="274" spans="1:4" ht="14.45" hidden="1" customHeight="1" x14ac:dyDescent="0.25">
      <c r="A274" s="11" t="s">
        <v>19</v>
      </c>
      <c r="B274" s="26">
        <f>[1]May!G15</f>
        <v>0</v>
      </c>
      <c r="C274" s="54" t="str">
        <f>C252</f>
        <v xml:space="preserve">*Here, "Annual" denotes the financial year from July 17, 2025 to May 31, 2026. </v>
      </c>
      <c r="D274" s="55"/>
    </row>
    <row r="275" spans="1:4" hidden="1" x14ac:dyDescent="0.25">
      <c r="A275" s="8" t="s">
        <v>21</v>
      </c>
      <c r="B275" s="26">
        <v>0</v>
      </c>
      <c r="C275" s="56"/>
      <c r="D275" s="57"/>
    </row>
    <row r="276" spans="1:4" hidden="1" x14ac:dyDescent="0.25">
      <c r="A276" s="8" t="s">
        <v>22</v>
      </c>
      <c r="B276" s="27">
        <f>B273+B274+B275</f>
        <v>0</v>
      </c>
      <c r="C276" s="56"/>
      <c r="D276" s="57"/>
    </row>
    <row r="277" spans="1:4" hidden="1" x14ac:dyDescent="0.25">
      <c r="A277" s="60" t="s">
        <v>23</v>
      </c>
      <c r="B277" s="52"/>
      <c r="C277" s="56"/>
      <c r="D277" s="57"/>
    </row>
    <row r="278" spans="1:4" hidden="1" x14ac:dyDescent="0.25">
      <c r="A278" s="11" t="s">
        <v>19</v>
      </c>
      <c r="B278" s="26">
        <f>B274</f>
        <v>0</v>
      </c>
      <c r="C278" s="58"/>
      <c r="D278" s="59"/>
    </row>
    <row r="279" spans="1:4" hidden="1" x14ac:dyDescent="0.25">
      <c r="A279" s="11" t="s">
        <v>24</v>
      </c>
      <c r="B279" s="26">
        <f>[1]May!I15</f>
        <v>0</v>
      </c>
      <c r="C279" s="51" t="s">
        <v>25</v>
      </c>
      <c r="D279" s="52"/>
    </row>
    <row r="280" spans="1:4" hidden="1" x14ac:dyDescent="0.25">
      <c r="A280" s="8" t="s">
        <v>26</v>
      </c>
      <c r="B280" s="26">
        <f>[1]May!T15</f>
        <v>0</v>
      </c>
      <c r="C280" s="8" t="s">
        <v>27</v>
      </c>
      <c r="D280" s="12">
        <v>46143</v>
      </c>
    </row>
    <row r="281" spans="1:4" hidden="1" x14ac:dyDescent="0.25">
      <c r="A281" s="8" t="s">
        <v>28</v>
      </c>
      <c r="B281" s="27">
        <f>SUM(B278:B280)</f>
        <v>0</v>
      </c>
      <c r="C281" s="8" t="s">
        <v>29</v>
      </c>
      <c r="D281" s="13" t="s">
        <v>30</v>
      </c>
    </row>
    <row r="282" spans="1:4" hidden="1" x14ac:dyDescent="0.25">
      <c r="A282" s="14" t="s">
        <v>31</v>
      </c>
      <c r="B282" s="28">
        <f>B276-B281</f>
        <v>0</v>
      </c>
      <c r="C282" s="16"/>
      <c r="D282" s="17"/>
    </row>
    <row r="283" spans="1:4" hidden="1" x14ac:dyDescent="0.25">
      <c r="A283" s="25"/>
      <c r="B283" s="25"/>
      <c r="C283" s="25"/>
      <c r="D283" s="25"/>
    </row>
    <row r="284" spans="1:4" x14ac:dyDescent="0.25">
      <c r="A284" s="25"/>
      <c r="B284" s="25"/>
      <c r="C284" s="25"/>
      <c r="D284" s="25"/>
    </row>
    <row r="285" spans="1:4" x14ac:dyDescent="0.25">
      <c r="A285" s="51" t="s">
        <v>0</v>
      </c>
      <c r="B285" s="52"/>
      <c r="C285" s="52"/>
      <c r="D285" s="52"/>
    </row>
    <row r="286" spans="1:4" x14ac:dyDescent="0.25">
      <c r="A286" s="21" t="s">
        <v>32</v>
      </c>
      <c r="B286" s="22" t="s">
        <v>81</v>
      </c>
      <c r="C286" s="21" t="s">
        <v>2</v>
      </c>
      <c r="D286" s="39">
        <f>'[1]Yearly sheet_Assumed'!G16</f>
        <v>8100501201782</v>
      </c>
    </row>
    <row r="287" spans="1:4" x14ac:dyDescent="0.25">
      <c r="A287" s="21" t="s">
        <v>1</v>
      </c>
      <c r="B287" s="4" t="str">
        <f>'[1]Yearly sheet_Assumed'!A16</f>
        <v>Suranjan Rana Magar</v>
      </c>
      <c r="C287" s="21" t="s">
        <v>5</v>
      </c>
      <c r="D287" s="4" t="str">
        <f>'[1]Yearly sheet_Assumed'!H16</f>
        <v>Everest Bank Ltd.</v>
      </c>
    </row>
    <row r="288" spans="1:4" x14ac:dyDescent="0.25">
      <c r="A288" s="21" t="s">
        <v>4</v>
      </c>
      <c r="B288" s="11" t="str">
        <f>'[1]Yearly sheet_Assumed'!D16</f>
        <v>Data Engineer</v>
      </c>
      <c r="C288" s="21" t="s">
        <v>7</v>
      </c>
      <c r="D288" s="4" t="str">
        <f>'[1]Yearly sheet_Assumed'!I16</f>
        <v>Gairidhara</v>
      </c>
    </row>
    <row r="289" spans="1:4" x14ac:dyDescent="0.25">
      <c r="A289" s="21" t="s">
        <v>6</v>
      </c>
      <c r="B289" s="4">
        <f>'[1]Yearly sheet_Assumed'!E16</f>
        <v>111806384</v>
      </c>
      <c r="C289" s="53"/>
      <c r="D289" s="53"/>
    </row>
    <row r="290" spans="1:4" x14ac:dyDescent="0.25">
      <c r="A290" s="21" t="s">
        <v>8</v>
      </c>
      <c r="B290" s="4">
        <f>'[1]Yearly sheet_Assumed'!C16</f>
        <v>9849914436</v>
      </c>
      <c r="C290" s="24" t="s">
        <v>35</v>
      </c>
      <c r="D290" s="1" t="str">
        <f>'[1]Yearly sheet_Assumed'!F16</f>
        <v>Unmarried</v>
      </c>
    </row>
    <row r="291" spans="1:4" x14ac:dyDescent="0.25">
      <c r="A291" s="51" t="s">
        <v>9</v>
      </c>
      <c r="B291" s="52"/>
      <c r="C291" s="51" t="s">
        <v>10</v>
      </c>
      <c r="D291" s="52"/>
    </row>
    <row r="292" spans="1:4" x14ac:dyDescent="0.25">
      <c r="A292" s="8" t="s">
        <v>11</v>
      </c>
      <c r="B292" s="26">
        <f>'[1]Yearly sheet_Assumed'!J16</f>
        <v>93912</v>
      </c>
      <c r="C292" s="8" t="s">
        <v>12</v>
      </c>
      <c r="D292" s="26">
        <f>'[1]Yearly sheet'!AO16</f>
        <v>1382854.2</v>
      </c>
    </row>
    <row r="293" spans="1:4" x14ac:dyDescent="0.25">
      <c r="A293" s="8" t="s">
        <v>13</v>
      </c>
      <c r="B293" s="26">
        <f>'[1]Yearly sheet_Assumed'!K16</f>
        <v>62608</v>
      </c>
      <c r="C293" s="8" t="s">
        <v>14</v>
      </c>
      <c r="D293" s="26">
        <f>'[1]Yearly sheet'!BB16</f>
        <v>232901.76000000001</v>
      </c>
    </row>
    <row r="294" spans="1:4" x14ac:dyDescent="0.25">
      <c r="A294" s="8" t="s">
        <v>15</v>
      </c>
      <c r="B294" s="27">
        <f>B292+B293</f>
        <v>156520</v>
      </c>
      <c r="C294" s="8" t="s">
        <v>16</v>
      </c>
      <c r="D294" s="26">
        <f>'[1]Yearly sheet'!BZ16</f>
        <v>154544.4547368421</v>
      </c>
    </row>
    <row r="295" spans="1:4" x14ac:dyDescent="0.25">
      <c r="A295" s="3" t="s">
        <v>17</v>
      </c>
      <c r="B295" s="27">
        <v>400</v>
      </c>
      <c r="C295" s="3" t="s">
        <v>18</v>
      </c>
      <c r="D295" s="27">
        <f>D292-D293-D294</f>
        <v>995407.98526315787</v>
      </c>
    </row>
    <row r="296" spans="1:4" ht="14.45" customHeight="1" x14ac:dyDescent="0.25">
      <c r="A296" s="11" t="s">
        <v>19</v>
      </c>
      <c r="B296" s="26">
        <f>[1]May!G16</f>
        <v>18782.400000000001</v>
      </c>
      <c r="C296" s="54" t="str">
        <f>C274</f>
        <v xml:space="preserve">*Here, "Annual" denotes the financial year from July 17, 2025 to May 31, 2026. </v>
      </c>
      <c r="D296" s="55"/>
    </row>
    <row r="297" spans="1:4" x14ac:dyDescent="0.25">
      <c r="A297" s="8" t="s">
        <v>21</v>
      </c>
      <c r="B297" s="26">
        <v>0</v>
      </c>
      <c r="C297" s="56"/>
      <c r="D297" s="57"/>
    </row>
    <row r="298" spans="1:4" x14ac:dyDescent="0.25">
      <c r="A298" s="8" t="s">
        <v>22</v>
      </c>
      <c r="B298" s="27">
        <f>B295+B296+B297</f>
        <v>19182.400000000001</v>
      </c>
      <c r="C298" s="56"/>
      <c r="D298" s="57"/>
    </row>
    <row r="299" spans="1:4" x14ac:dyDescent="0.25">
      <c r="A299" s="60" t="s">
        <v>23</v>
      </c>
      <c r="B299" s="52"/>
      <c r="C299" s="56"/>
      <c r="D299" s="57"/>
    </row>
    <row r="300" spans="1:4" x14ac:dyDescent="0.25">
      <c r="A300" s="11" t="s">
        <v>19</v>
      </c>
      <c r="B300" s="26">
        <f>B296</f>
        <v>18782.400000000001</v>
      </c>
      <c r="C300" s="58"/>
      <c r="D300" s="59"/>
    </row>
    <row r="301" spans="1:4" x14ac:dyDescent="0.25">
      <c r="A301" s="11" t="s">
        <v>24</v>
      </c>
      <c r="B301" s="26">
        <f>[1]May!I16</f>
        <v>10330.32</v>
      </c>
      <c r="C301" s="51" t="s">
        <v>25</v>
      </c>
      <c r="D301" s="52"/>
    </row>
    <row r="302" spans="1:4" x14ac:dyDescent="0.25">
      <c r="A302" s="8" t="s">
        <v>26</v>
      </c>
      <c r="B302" s="26">
        <f>[1]May!T16</f>
        <v>15118.056842105265</v>
      </c>
      <c r="C302" s="8" t="s">
        <v>27</v>
      </c>
      <c r="D302" s="12">
        <v>46143</v>
      </c>
    </row>
    <row r="303" spans="1:4" x14ac:dyDescent="0.25">
      <c r="A303" s="8" t="s">
        <v>28</v>
      </c>
      <c r="B303" s="27">
        <f>SUM(B300:B302)</f>
        <v>44230.776842105268</v>
      </c>
      <c r="C303" s="8" t="s">
        <v>29</v>
      </c>
      <c r="D303" s="13" t="s">
        <v>30</v>
      </c>
    </row>
    <row r="304" spans="1:4" x14ac:dyDescent="0.25">
      <c r="A304" s="14" t="s">
        <v>31</v>
      </c>
      <c r="B304" s="28">
        <f>B298-B303</f>
        <v>-25048.376842105266</v>
      </c>
      <c r="C304" s="16"/>
      <c r="D304" s="17"/>
    </row>
    <row r="305" spans="1:6" x14ac:dyDescent="0.25">
      <c r="A305" s="25"/>
      <c r="B305" s="25"/>
      <c r="C305" s="25"/>
      <c r="D305" s="25"/>
    </row>
    <row r="306" spans="1:6" x14ac:dyDescent="0.25">
      <c r="A306" s="25"/>
      <c r="B306" s="25"/>
      <c r="C306" s="25"/>
      <c r="D306" s="25"/>
    </row>
    <row r="307" spans="1:6" x14ac:dyDescent="0.25">
      <c r="A307" s="51" t="s">
        <v>0</v>
      </c>
      <c r="B307" s="52"/>
      <c r="C307" s="52"/>
      <c r="D307" s="52"/>
    </row>
    <row r="308" spans="1:6" x14ac:dyDescent="0.25">
      <c r="A308" s="21" t="s">
        <v>32</v>
      </c>
      <c r="B308" s="22" t="s">
        <v>52</v>
      </c>
      <c r="C308" s="21" t="s">
        <v>2</v>
      </c>
      <c r="D308" s="39">
        <f>'[1]Yearly sheet_Assumed'!G17</f>
        <v>9800501202071</v>
      </c>
    </row>
    <row r="309" spans="1:6" x14ac:dyDescent="0.25">
      <c r="A309" s="21" t="s">
        <v>1</v>
      </c>
      <c r="B309" s="4" t="str">
        <f>'[1]Yearly sheet_Assumed'!A17</f>
        <v>Saroj Pandey</v>
      </c>
      <c r="C309" s="21" t="s">
        <v>5</v>
      </c>
      <c r="D309" s="4" t="str">
        <f>'[1]Yearly sheet_Assumed'!H17</f>
        <v>Everest Bank Ltd.</v>
      </c>
    </row>
    <row r="310" spans="1:6" x14ac:dyDescent="0.25">
      <c r="A310" s="21" t="s">
        <v>4</v>
      </c>
      <c r="B310" s="11" t="str">
        <f>'[1]Yearly sheet'!D17</f>
        <v>Data Engineer</v>
      </c>
      <c r="C310" s="21" t="s">
        <v>7</v>
      </c>
      <c r="D310" s="4" t="str">
        <f>'[1]Yearly sheet_Assumed'!I17</f>
        <v>Rupandehi</v>
      </c>
    </row>
    <row r="311" spans="1:6" x14ac:dyDescent="0.25">
      <c r="A311" s="21" t="s">
        <v>6</v>
      </c>
      <c r="B311" s="4">
        <f>'[1]Yearly sheet'!E17</f>
        <v>128516755</v>
      </c>
      <c r="C311" s="53"/>
      <c r="D311" s="53"/>
    </row>
    <row r="312" spans="1:6" x14ac:dyDescent="0.25">
      <c r="A312" s="21" t="s">
        <v>8</v>
      </c>
      <c r="B312" s="4">
        <f>'[1]Yearly sheet'!C17</f>
        <v>9869534920</v>
      </c>
      <c r="C312" s="24" t="s">
        <v>35</v>
      </c>
      <c r="D312" s="1" t="str">
        <f>'[1]Yearly sheet_Assumed'!F17</f>
        <v>Unmarried</v>
      </c>
    </row>
    <row r="313" spans="1:6" x14ac:dyDescent="0.25">
      <c r="A313" s="51" t="s">
        <v>9</v>
      </c>
      <c r="B313" s="52"/>
      <c r="C313" s="51" t="s">
        <v>10</v>
      </c>
      <c r="D313" s="52"/>
    </row>
    <row r="314" spans="1:6" x14ac:dyDescent="0.25">
      <c r="A314" s="8" t="s">
        <v>11</v>
      </c>
      <c r="B314" s="26">
        <f>'[1]Yearly sheet'!J17</f>
        <v>75036</v>
      </c>
      <c r="C314" s="8" t="s">
        <v>12</v>
      </c>
      <c r="D314" s="26">
        <f>'[1]Yearly sheet'!AO17</f>
        <v>980470.4</v>
      </c>
    </row>
    <row r="315" spans="1:6" x14ac:dyDescent="0.25">
      <c r="A315" s="8" t="s">
        <v>13</v>
      </c>
      <c r="B315" s="26">
        <f>'[1]Yearly sheet_Assumed'!K17</f>
        <v>50024</v>
      </c>
      <c r="C315" s="8" t="s">
        <v>14</v>
      </c>
      <c r="D315" s="26">
        <f>'[1]Yearly sheet'!BB17</f>
        <v>162828.12000000002</v>
      </c>
    </row>
    <row r="316" spans="1:6" x14ac:dyDescent="0.25">
      <c r="A316" s="8" t="s">
        <v>15</v>
      </c>
      <c r="B316" s="27">
        <f>B314+B315</f>
        <v>125060</v>
      </c>
      <c r="C316" s="8" t="s">
        <v>16</v>
      </c>
      <c r="D316" s="26">
        <f>'[1]Yearly sheet'!BZ17</f>
        <v>64025.188705882356</v>
      </c>
    </row>
    <row r="317" spans="1:6" x14ac:dyDescent="0.25">
      <c r="A317" s="3" t="s">
        <v>17</v>
      </c>
      <c r="B317" s="27">
        <v>400</v>
      </c>
      <c r="C317" s="3" t="s">
        <v>18</v>
      </c>
      <c r="D317" s="27">
        <f>D314-D315-D316</f>
        <v>753617.09129411762</v>
      </c>
    </row>
    <row r="318" spans="1:6" ht="14.45" customHeight="1" x14ac:dyDescent="0.25">
      <c r="A318" s="11" t="s">
        <v>19</v>
      </c>
      <c r="B318" s="26">
        <f>[1]May!G17</f>
        <v>15007.2</v>
      </c>
      <c r="C318" s="54" t="str">
        <f>C296</f>
        <v xml:space="preserve">*Here, "Annual" denotes the financial year from July 17, 2025 to May 31, 2026. </v>
      </c>
      <c r="D318" s="55"/>
      <c r="F318" s="31"/>
    </row>
    <row r="319" spans="1:6" x14ac:dyDescent="0.25">
      <c r="A319" s="8" t="s">
        <v>21</v>
      </c>
      <c r="B319" s="26">
        <v>0</v>
      </c>
      <c r="C319" s="56"/>
      <c r="D319" s="57"/>
      <c r="F319" s="31"/>
    </row>
    <row r="320" spans="1:6" x14ac:dyDescent="0.25">
      <c r="A320" s="8" t="s">
        <v>22</v>
      </c>
      <c r="B320" s="27">
        <f>B317+B318+B319</f>
        <v>15407.2</v>
      </c>
      <c r="C320" s="56"/>
      <c r="D320" s="57"/>
    </row>
    <row r="321" spans="1:4" x14ac:dyDescent="0.25">
      <c r="A321" s="60" t="s">
        <v>23</v>
      </c>
      <c r="B321" s="52"/>
      <c r="C321" s="56"/>
      <c r="D321" s="57"/>
    </row>
    <row r="322" spans="1:4" x14ac:dyDescent="0.25">
      <c r="A322" s="11" t="s">
        <v>19</v>
      </c>
      <c r="B322" s="26">
        <f>B318</f>
        <v>15007.2</v>
      </c>
      <c r="C322" s="58"/>
      <c r="D322" s="59"/>
    </row>
    <row r="323" spans="1:4" x14ac:dyDescent="0.25">
      <c r="A323" s="11" t="s">
        <v>24</v>
      </c>
      <c r="B323" s="26">
        <f>[1]May!I17</f>
        <v>8253.9600000000009</v>
      </c>
      <c r="C323" s="51" t="s">
        <v>25</v>
      </c>
      <c r="D323" s="52"/>
    </row>
    <row r="324" spans="1:4" x14ac:dyDescent="0.25">
      <c r="A324" s="8" t="s">
        <v>26</v>
      </c>
      <c r="B324" s="26">
        <f>[1]May!T17</f>
        <v>9146.4555294117654</v>
      </c>
      <c r="C324" s="8" t="s">
        <v>27</v>
      </c>
      <c r="D324" s="12">
        <v>46143</v>
      </c>
    </row>
    <row r="325" spans="1:4" x14ac:dyDescent="0.25">
      <c r="A325" s="8" t="s">
        <v>28</v>
      </c>
      <c r="B325" s="27">
        <f>SUM(B322:B324)</f>
        <v>32407.615529411771</v>
      </c>
      <c r="C325" s="8" t="s">
        <v>29</v>
      </c>
      <c r="D325" s="13" t="s">
        <v>30</v>
      </c>
    </row>
    <row r="326" spans="1:4" x14ac:dyDescent="0.25">
      <c r="A326" s="14" t="s">
        <v>31</v>
      </c>
      <c r="B326" s="28">
        <f>B320-B325</f>
        <v>-17000.41552941177</v>
      </c>
      <c r="C326" s="16"/>
      <c r="D326" s="17"/>
    </row>
    <row r="327" spans="1:4" x14ac:dyDescent="0.25">
      <c r="A327" s="25"/>
      <c r="B327" s="25"/>
      <c r="C327" s="25"/>
      <c r="D327" s="25"/>
    </row>
    <row r="328" spans="1:4" x14ac:dyDescent="0.25">
      <c r="A328" s="25"/>
      <c r="B328" s="25"/>
      <c r="C328" s="25"/>
      <c r="D328" s="25"/>
    </row>
    <row r="329" spans="1:4" x14ac:dyDescent="0.25">
      <c r="A329" s="51" t="s">
        <v>0</v>
      </c>
      <c r="B329" s="52"/>
      <c r="C329" s="52"/>
      <c r="D329" s="52"/>
    </row>
    <row r="330" spans="1:4" x14ac:dyDescent="0.25">
      <c r="A330" s="21" t="s">
        <v>32</v>
      </c>
      <c r="B330" s="22" t="s">
        <v>53</v>
      </c>
      <c r="C330" s="21" t="s">
        <v>2</v>
      </c>
      <c r="D330" s="39">
        <f>'[1]Yearly sheet_Assumed'!G18</f>
        <v>5900501203847</v>
      </c>
    </row>
    <row r="331" spans="1:4" x14ac:dyDescent="0.25">
      <c r="A331" s="21" t="s">
        <v>1</v>
      </c>
      <c r="B331" s="4" t="str">
        <f>'[1]Yearly sheet_Assumed'!A18</f>
        <v>Gaurav Singh Thagunna</v>
      </c>
      <c r="C331" s="21" t="s">
        <v>5</v>
      </c>
      <c r="D331" s="4" t="str">
        <f>'[1]Yearly sheet_Assumed'!H18</f>
        <v>Everest Bank Ltd.</v>
      </c>
    </row>
    <row r="332" spans="1:4" x14ac:dyDescent="0.25">
      <c r="A332" s="21" t="s">
        <v>4</v>
      </c>
      <c r="B332" s="11" t="str">
        <f>'[1]Yearly sheet'!D18</f>
        <v>Data Engineer</v>
      </c>
      <c r="C332" s="21" t="s">
        <v>7</v>
      </c>
      <c r="D332" s="4" t="str">
        <f>'[1]Yearly sheet_Assumed'!I18</f>
        <v>Mahendranagar</v>
      </c>
    </row>
    <row r="333" spans="1:4" x14ac:dyDescent="0.25">
      <c r="A333" s="21" t="s">
        <v>6</v>
      </c>
      <c r="B333" s="4">
        <f>'[1]Yearly sheet'!E18</f>
        <v>129695347</v>
      </c>
      <c r="C333" s="53"/>
      <c r="D333" s="53"/>
    </row>
    <row r="334" spans="1:4" x14ac:dyDescent="0.25">
      <c r="A334" s="21" t="s">
        <v>8</v>
      </c>
      <c r="B334" s="4">
        <f>'[1]Yearly sheet'!C18</f>
        <v>9810680818</v>
      </c>
      <c r="C334" s="24" t="s">
        <v>35</v>
      </c>
      <c r="D334" s="1" t="str">
        <f>'[1]Yearly sheet_Assumed'!F18</f>
        <v>Married</v>
      </c>
    </row>
    <row r="335" spans="1:4" x14ac:dyDescent="0.25">
      <c r="A335" s="51" t="s">
        <v>9</v>
      </c>
      <c r="B335" s="52"/>
      <c r="C335" s="51" t="s">
        <v>10</v>
      </c>
      <c r="D335" s="52"/>
    </row>
    <row r="336" spans="1:4" x14ac:dyDescent="0.25">
      <c r="A336" s="8" t="s">
        <v>11</v>
      </c>
      <c r="B336" s="26">
        <f>'[1]Yearly sheet'!J18</f>
        <v>79326</v>
      </c>
      <c r="C336" s="8" t="s">
        <v>12</v>
      </c>
      <c r="D336" s="26">
        <f>'[1]Yearly sheet'!AO18</f>
        <v>1036526.4</v>
      </c>
    </row>
    <row r="337" spans="1:4" x14ac:dyDescent="0.25">
      <c r="A337" s="8" t="s">
        <v>13</v>
      </c>
      <c r="B337" s="26">
        <f>'[1]Yearly sheet_Assumed'!K18</f>
        <v>52884</v>
      </c>
      <c r="C337" s="8" t="s">
        <v>14</v>
      </c>
      <c r="D337" s="26">
        <f>'[1]Yearly sheet'!BB18</f>
        <v>172137.42</v>
      </c>
    </row>
    <row r="338" spans="1:4" x14ac:dyDescent="0.25">
      <c r="A338" s="8" t="s">
        <v>15</v>
      </c>
      <c r="B338" s="27">
        <f>B336+B337</f>
        <v>132210</v>
      </c>
      <c r="C338" s="8" t="s">
        <v>16</v>
      </c>
      <c r="D338" s="26">
        <f>'[1]Yearly sheet'!BZ18</f>
        <v>53997.878117647066</v>
      </c>
    </row>
    <row r="339" spans="1:4" x14ac:dyDescent="0.25">
      <c r="A339" s="3" t="s">
        <v>17</v>
      </c>
      <c r="B339" s="27">
        <v>400</v>
      </c>
      <c r="C339" s="3" t="s">
        <v>18</v>
      </c>
      <c r="D339" s="27">
        <f>D336-D337-D338</f>
        <v>810391.10188235296</v>
      </c>
    </row>
    <row r="340" spans="1:4" ht="14.45" customHeight="1" x14ac:dyDescent="0.25">
      <c r="A340" s="11" t="s">
        <v>19</v>
      </c>
      <c r="B340" s="26">
        <f>[1]May!G18</f>
        <v>15865.2</v>
      </c>
      <c r="C340" s="54" t="str">
        <f>C318</f>
        <v xml:space="preserve">*Here, "Annual" denotes the financial year from July 17, 2025 to May 31, 2026. </v>
      </c>
      <c r="D340" s="55"/>
    </row>
    <row r="341" spans="1:4" x14ac:dyDescent="0.25">
      <c r="A341" s="8" t="s">
        <v>21</v>
      </c>
      <c r="B341" s="26">
        <v>0</v>
      </c>
      <c r="C341" s="56"/>
      <c r="D341" s="57"/>
    </row>
    <row r="342" spans="1:4" x14ac:dyDescent="0.25">
      <c r="A342" s="8" t="s">
        <v>22</v>
      </c>
      <c r="B342" s="27">
        <f>B339+B340+B341</f>
        <v>16265.2</v>
      </c>
      <c r="C342" s="56"/>
      <c r="D342" s="57"/>
    </row>
    <row r="343" spans="1:4" x14ac:dyDescent="0.25">
      <c r="A343" s="60" t="s">
        <v>23</v>
      </c>
      <c r="B343" s="52"/>
      <c r="C343" s="56"/>
      <c r="D343" s="57"/>
    </row>
    <row r="344" spans="1:4" x14ac:dyDescent="0.25">
      <c r="A344" s="11" t="s">
        <v>19</v>
      </c>
      <c r="B344" s="26">
        <f>B340</f>
        <v>15865.2</v>
      </c>
      <c r="C344" s="58"/>
      <c r="D344" s="59"/>
    </row>
    <row r="345" spans="1:4" x14ac:dyDescent="0.25">
      <c r="A345" s="11" t="s">
        <v>24</v>
      </c>
      <c r="B345" s="26">
        <f>[1]May!I18</f>
        <v>8725.86</v>
      </c>
      <c r="C345" s="51" t="s">
        <v>25</v>
      </c>
      <c r="D345" s="52"/>
    </row>
    <row r="346" spans="1:4" x14ac:dyDescent="0.25">
      <c r="A346" s="8" t="s">
        <v>26</v>
      </c>
      <c r="B346" s="26">
        <f>[1]May!T18</f>
        <v>5256.3825882352949</v>
      </c>
      <c r="C346" s="8" t="s">
        <v>27</v>
      </c>
      <c r="D346" s="12">
        <v>46143</v>
      </c>
    </row>
    <row r="347" spans="1:4" x14ac:dyDescent="0.25">
      <c r="A347" s="8" t="s">
        <v>28</v>
      </c>
      <c r="B347" s="27">
        <f>SUM(B344:B346)</f>
        <v>29847.442588235295</v>
      </c>
      <c r="C347" s="8" t="s">
        <v>29</v>
      </c>
      <c r="D347" s="13" t="s">
        <v>30</v>
      </c>
    </row>
    <row r="348" spans="1:4" x14ac:dyDescent="0.25">
      <c r="A348" s="14" t="s">
        <v>31</v>
      </c>
      <c r="B348" s="28">
        <f>B342-B347</f>
        <v>-13582.242588235295</v>
      </c>
      <c r="C348" s="16"/>
      <c r="D348" s="17"/>
    </row>
    <row r="349" spans="1:4" x14ac:dyDescent="0.25">
      <c r="A349" s="25"/>
      <c r="B349" s="25"/>
      <c r="C349" s="25"/>
      <c r="D349" s="25"/>
    </row>
    <row r="350" spans="1:4" x14ac:dyDescent="0.25">
      <c r="A350" s="25"/>
      <c r="B350" s="25"/>
      <c r="C350" s="25"/>
      <c r="D350" s="25"/>
    </row>
    <row r="351" spans="1:4" x14ac:dyDescent="0.25">
      <c r="A351" s="51" t="s">
        <v>0</v>
      </c>
      <c r="B351" s="52"/>
      <c r="C351" s="52"/>
      <c r="D351" s="52"/>
    </row>
    <row r="352" spans="1:4" x14ac:dyDescent="0.25">
      <c r="A352" s="21" t="s">
        <v>32</v>
      </c>
      <c r="B352" s="22" t="s">
        <v>54</v>
      </c>
      <c r="C352" s="21" t="s">
        <v>2</v>
      </c>
      <c r="D352" s="39">
        <f>'[1]Yearly sheet_Assumed'!G19</f>
        <v>1000527200994</v>
      </c>
    </row>
    <row r="353" spans="1:4" x14ac:dyDescent="0.25">
      <c r="A353" s="21" t="s">
        <v>1</v>
      </c>
      <c r="B353" s="4" t="str">
        <f>'[1]Yearly sheet_Assumed'!A19</f>
        <v>Deepen Upreti</v>
      </c>
      <c r="C353" s="21" t="s">
        <v>5</v>
      </c>
      <c r="D353" s="4" t="str">
        <f>'[1]Yearly sheet_Assumed'!H19</f>
        <v>Everest Bank Ltd.</v>
      </c>
    </row>
    <row r="354" spans="1:4" x14ac:dyDescent="0.25">
      <c r="A354" s="21" t="s">
        <v>4</v>
      </c>
      <c r="B354" s="11" t="str">
        <f>'[1]Yearly sheet'!D19</f>
        <v>Senior Databricks Data Engineer</v>
      </c>
      <c r="C354" s="21" t="s">
        <v>7</v>
      </c>
      <c r="D354" s="4" t="str">
        <f>'[1]Yearly sheet_Assumed'!I19</f>
        <v>Teku</v>
      </c>
    </row>
    <row r="355" spans="1:4" x14ac:dyDescent="0.25">
      <c r="A355" s="21" t="s">
        <v>6</v>
      </c>
      <c r="B355" s="4">
        <f>'[1]Yearly sheet'!E19</f>
        <v>126919165</v>
      </c>
      <c r="C355" s="53"/>
      <c r="D355" s="53"/>
    </row>
    <row r="356" spans="1:4" x14ac:dyDescent="0.25">
      <c r="A356" s="21" t="s">
        <v>8</v>
      </c>
      <c r="B356" s="4">
        <f>'[1]Yearly sheet'!C19</f>
        <v>9860435993</v>
      </c>
      <c r="C356" s="24" t="s">
        <v>35</v>
      </c>
      <c r="D356" s="1" t="str">
        <f>'[1]Yearly sheet_Assumed'!F19</f>
        <v>Unmarried</v>
      </c>
    </row>
    <row r="357" spans="1:4" x14ac:dyDescent="0.25">
      <c r="A357" s="51" t="s">
        <v>9</v>
      </c>
      <c r="B357" s="52"/>
      <c r="C357" s="51" t="s">
        <v>10</v>
      </c>
      <c r="D357" s="52"/>
    </row>
    <row r="358" spans="1:4" x14ac:dyDescent="0.25">
      <c r="A358" s="8" t="s">
        <v>11</v>
      </c>
      <c r="B358" s="26">
        <f>'[1]Yearly sheet'!J19</f>
        <v>117935.99999999999</v>
      </c>
      <c r="C358" s="8" t="s">
        <v>12</v>
      </c>
      <c r="D358" s="26">
        <f>'[1]Yearly sheet'!AO19</f>
        <v>1541030.4</v>
      </c>
    </row>
    <row r="359" spans="1:4" x14ac:dyDescent="0.25">
      <c r="A359" s="8" t="s">
        <v>13</v>
      </c>
      <c r="B359" s="26">
        <f>'[1]Yearly sheet_Assumed'!K19</f>
        <v>78624.000000000015</v>
      </c>
      <c r="C359" s="8" t="s">
        <v>14</v>
      </c>
      <c r="D359" s="26">
        <f>'[1]Yearly sheet'!BB19</f>
        <v>255921.12</v>
      </c>
    </row>
    <row r="360" spans="1:4" x14ac:dyDescent="0.25">
      <c r="A360" s="8" t="s">
        <v>15</v>
      </c>
      <c r="B360" s="27">
        <f>B358+B359</f>
        <v>196560</v>
      </c>
      <c r="C360" s="8" t="s">
        <v>16</v>
      </c>
      <c r="D360" s="26">
        <f>'[1]Yearly sheet'!BZ19</f>
        <v>202753.77129411767</v>
      </c>
    </row>
    <row r="361" spans="1:4" x14ac:dyDescent="0.25">
      <c r="A361" s="3" t="s">
        <v>17</v>
      </c>
      <c r="B361" s="27">
        <v>400</v>
      </c>
      <c r="C361" s="3" t="s">
        <v>18</v>
      </c>
      <c r="D361" s="27">
        <f>D358-D359-D360</f>
        <v>1082355.5087058821</v>
      </c>
    </row>
    <row r="362" spans="1:4" ht="14.45" customHeight="1" x14ac:dyDescent="0.25">
      <c r="A362" s="11" t="s">
        <v>19</v>
      </c>
      <c r="B362" s="26">
        <f>[1]May!G19</f>
        <v>23587.199999999997</v>
      </c>
      <c r="C362" s="54" t="str">
        <f>C340</f>
        <v xml:space="preserve">*Here, "Annual" denotes the financial year from July 17, 2025 to May 31, 2026. </v>
      </c>
      <c r="D362" s="55"/>
    </row>
    <row r="363" spans="1:4" x14ac:dyDescent="0.25">
      <c r="A363" s="8" t="s">
        <v>21</v>
      </c>
      <c r="B363" s="26">
        <v>0</v>
      </c>
      <c r="C363" s="56"/>
      <c r="D363" s="57"/>
    </row>
    <row r="364" spans="1:4" x14ac:dyDescent="0.25">
      <c r="A364" s="8" t="s">
        <v>22</v>
      </c>
      <c r="B364" s="27">
        <f>B361+B362+B363</f>
        <v>23987.199999999997</v>
      </c>
      <c r="C364" s="56"/>
      <c r="D364" s="57"/>
    </row>
    <row r="365" spans="1:4" x14ac:dyDescent="0.25">
      <c r="A365" s="60" t="s">
        <v>23</v>
      </c>
      <c r="B365" s="52"/>
      <c r="C365" s="56"/>
      <c r="D365" s="57"/>
    </row>
    <row r="366" spans="1:4" x14ac:dyDescent="0.25">
      <c r="A366" s="11" t="s">
        <v>19</v>
      </c>
      <c r="B366" s="26">
        <f>B362</f>
        <v>23587.199999999997</v>
      </c>
      <c r="C366" s="58"/>
      <c r="D366" s="59"/>
    </row>
    <row r="367" spans="1:4" x14ac:dyDescent="0.25">
      <c r="A367" s="11" t="s">
        <v>24</v>
      </c>
      <c r="B367" s="26">
        <f>[1]May!I19</f>
        <v>12972.96</v>
      </c>
      <c r="C367" s="51" t="s">
        <v>25</v>
      </c>
      <c r="D367" s="52"/>
    </row>
    <row r="368" spans="1:4" x14ac:dyDescent="0.25">
      <c r="A368" s="8" t="s">
        <v>26</v>
      </c>
      <c r="B368" s="26">
        <f>[1]May!T19</f>
        <v>28964.824470588239</v>
      </c>
      <c r="C368" s="8" t="s">
        <v>27</v>
      </c>
      <c r="D368" s="12">
        <v>46143</v>
      </c>
    </row>
    <row r="369" spans="1:4" x14ac:dyDescent="0.25">
      <c r="A369" s="8" t="s">
        <v>28</v>
      </c>
      <c r="B369" s="27">
        <f>SUM(B366:B368)</f>
        <v>65524.984470588235</v>
      </c>
      <c r="C369" s="8" t="s">
        <v>29</v>
      </c>
      <c r="D369" s="13" t="s">
        <v>30</v>
      </c>
    </row>
    <row r="370" spans="1:4" x14ac:dyDescent="0.25">
      <c r="A370" s="14" t="s">
        <v>31</v>
      </c>
      <c r="B370" s="28">
        <f>B364-B369</f>
        <v>-41537.784470588238</v>
      </c>
      <c r="C370" s="16"/>
      <c r="D370" s="17"/>
    </row>
    <row r="371" spans="1:4" x14ac:dyDescent="0.25">
      <c r="A371" s="25"/>
      <c r="B371" s="25"/>
      <c r="C371" s="25"/>
      <c r="D371" s="25"/>
    </row>
    <row r="372" spans="1:4" x14ac:dyDescent="0.25">
      <c r="A372" s="25"/>
      <c r="B372" s="25"/>
      <c r="C372" s="25"/>
      <c r="D372" s="25"/>
    </row>
    <row r="373" spans="1:4" x14ac:dyDescent="0.25">
      <c r="A373" s="51" t="s">
        <v>0</v>
      </c>
      <c r="B373" s="52"/>
      <c r="C373" s="52"/>
      <c r="D373" s="52"/>
    </row>
    <row r="374" spans="1:4" x14ac:dyDescent="0.25">
      <c r="A374" s="21" t="s">
        <v>32</v>
      </c>
      <c r="B374" s="22" t="s">
        <v>55</v>
      </c>
      <c r="C374" s="21" t="s">
        <v>2</v>
      </c>
      <c r="D374" s="39">
        <f>'[1]Yearly sheet_Assumed'!G20</f>
        <v>8100501201815</v>
      </c>
    </row>
    <row r="375" spans="1:4" x14ac:dyDescent="0.25">
      <c r="A375" s="21" t="s">
        <v>1</v>
      </c>
      <c r="B375" s="4" t="str">
        <f>[1]Dec!A20</f>
        <v>Binaya Sharma</v>
      </c>
      <c r="C375" s="21" t="s">
        <v>5</v>
      </c>
      <c r="D375" s="4" t="str">
        <f>'[1]Yearly sheet_Assumed'!H20</f>
        <v>Everest Bank Ltd.</v>
      </c>
    </row>
    <row r="376" spans="1:4" x14ac:dyDescent="0.25">
      <c r="A376" s="21" t="s">
        <v>4</v>
      </c>
      <c r="B376" s="11" t="str">
        <f>'[1]Yearly sheet'!D20</f>
        <v>Data Engineer</v>
      </c>
      <c r="C376" s="21" t="s">
        <v>7</v>
      </c>
      <c r="D376" s="4" t="str">
        <f>'[1]Yearly sheet_Assumed'!I20</f>
        <v>Gairidhara</v>
      </c>
    </row>
    <row r="377" spans="1:4" x14ac:dyDescent="0.25">
      <c r="A377" s="21" t="s">
        <v>6</v>
      </c>
      <c r="B377" s="4">
        <f>'[1]Yearly sheet'!E20</f>
        <v>130775218</v>
      </c>
      <c r="C377" s="53"/>
      <c r="D377" s="53"/>
    </row>
    <row r="378" spans="1:4" x14ac:dyDescent="0.25">
      <c r="A378" s="21" t="s">
        <v>8</v>
      </c>
      <c r="B378" s="4">
        <f>'[1]Yearly sheet'!C20</f>
        <v>9860673725</v>
      </c>
      <c r="C378" s="24" t="s">
        <v>35</v>
      </c>
      <c r="D378" s="1" t="str">
        <f>'[1]Yearly sheet_Assumed'!F20</f>
        <v>Unmarried</v>
      </c>
    </row>
    <row r="379" spans="1:4" x14ac:dyDescent="0.25">
      <c r="A379" s="51" t="s">
        <v>9</v>
      </c>
      <c r="B379" s="52"/>
      <c r="C379" s="51" t="s">
        <v>10</v>
      </c>
      <c r="D379" s="52"/>
    </row>
    <row r="380" spans="1:4" x14ac:dyDescent="0.25">
      <c r="A380" s="8" t="s">
        <v>11</v>
      </c>
      <c r="B380" s="26">
        <f>'[1]Yearly sheet'!J20</f>
        <v>53820</v>
      </c>
      <c r="C380" s="8" t="s">
        <v>12</v>
      </c>
      <c r="D380" s="26">
        <f>'[1]Yearly sheet'!AO20</f>
        <v>668085.6</v>
      </c>
    </row>
    <row r="381" spans="1:4" x14ac:dyDescent="0.25">
      <c r="A381" s="8" t="s">
        <v>13</v>
      </c>
      <c r="B381" s="26">
        <f>'[1]Yearly sheet_Assumed'!K20</f>
        <v>35880</v>
      </c>
      <c r="C381" s="8" t="s">
        <v>14</v>
      </c>
      <c r="D381" s="26">
        <f>'[1]Yearly sheet'!BB20</f>
        <v>110949.93</v>
      </c>
    </row>
    <row r="382" spans="1:4" x14ac:dyDescent="0.25">
      <c r="A382" s="8" t="s">
        <v>15</v>
      </c>
      <c r="B382" s="27">
        <f>B380+B381</f>
        <v>89700</v>
      </c>
      <c r="C382" s="8" t="s">
        <v>16</v>
      </c>
      <c r="D382" s="26">
        <f>'[1]Yearly sheet'!BZ20</f>
        <v>14810.786941176471</v>
      </c>
    </row>
    <row r="383" spans="1:4" x14ac:dyDescent="0.25">
      <c r="A383" s="3" t="s">
        <v>17</v>
      </c>
      <c r="B383" s="27">
        <v>400</v>
      </c>
      <c r="C383" s="3" t="s">
        <v>18</v>
      </c>
      <c r="D383" s="27">
        <f>D380-D381-D382</f>
        <v>542324.88305882341</v>
      </c>
    </row>
    <row r="384" spans="1:4" ht="14.45" customHeight="1" x14ac:dyDescent="0.25">
      <c r="A384" s="11" t="s">
        <v>19</v>
      </c>
      <c r="B384" s="26">
        <f>[1]May!G20</f>
        <v>10764</v>
      </c>
      <c r="C384" s="54" t="str">
        <f>C362</f>
        <v xml:space="preserve">*Here, "Annual" denotes the financial year from July 17, 2025 to May 31, 2026. </v>
      </c>
      <c r="D384" s="55"/>
    </row>
    <row r="385" spans="1:6" x14ac:dyDescent="0.25">
      <c r="A385" s="8" t="s">
        <v>21</v>
      </c>
      <c r="B385" s="26">
        <v>0</v>
      </c>
      <c r="C385" s="56"/>
      <c r="D385" s="57"/>
    </row>
    <row r="386" spans="1:6" x14ac:dyDescent="0.25">
      <c r="A386" s="8" t="s">
        <v>22</v>
      </c>
      <c r="B386" s="27">
        <f>B383+B384+B385</f>
        <v>11164</v>
      </c>
      <c r="C386" s="56"/>
      <c r="D386" s="57"/>
    </row>
    <row r="387" spans="1:6" x14ac:dyDescent="0.25">
      <c r="A387" s="60" t="s">
        <v>23</v>
      </c>
      <c r="B387" s="52"/>
      <c r="C387" s="56"/>
      <c r="D387" s="57"/>
    </row>
    <row r="388" spans="1:6" ht="14.45" customHeight="1" x14ac:dyDescent="0.25">
      <c r="A388" s="11" t="s">
        <v>19</v>
      </c>
      <c r="B388" s="26">
        <f>B384</f>
        <v>10764</v>
      </c>
      <c r="C388" s="58"/>
      <c r="D388" s="59"/>
    </row>
    <row r="389" spans="1:6" x14ac:dyDescent="0.25">
      <c r="A389" s="11" t="s">
        <v>24</v>
      </c>
      <c r="B389" s="26">
        <f>[1]May!I20</f>
        <v>5920.2</v>
      </c>
      <c r="C389" s="51" t="s">
        <v>25</v>
      </c>
      <c r="D389" s="52"/>
    </row>
    <row r="390" spans="1:6" x14ac:dyDescent="0.25">
      <c r="A390" s="8" t="s">
        <v>26</v>
      </c>
      <c r="B390" s="26">
        <f>[1]May!T20</f>
        <v>2115.8267058823535</v>
      </c>
      <c r="C390" s="8" t="s">
        <v>27</v>
      </c>
      <c r="D390" s="12">
        <v>46143</v>
      </c>
    </row>
    <row r="391" spans="1:6" x14ac:dyDescent="0.25">
      <c r="A391" s="8" t="s">
        <v>28</v>
      </c>
      <c r="B391" s="27">
        <f>SUM(B388:B390)</f>
        <v>18800.026705882356</v>
      </c>
      <c r="C391" s="8" t="s">
        <v>29</v>
      </c>
      <c r="D391" s="13" t="s">
        <v>30</v>
      </c>
    </row>
    <row r="392" spans="1:6" x14ac:dyDescent="0.25">
      <c r="A392" s="14" t="s">
        <v>31</v>
      </c>
      <c r="B392" s="28">
        <f>B386-B391</f>
        <v>-7636.0267058823556</v>
      </c>
      <c r="C392" s="16"/>
      <c r="D392" s="17"/>
    </row>
    <row r="393" spans="1:6" s="2" customFormat="1" x14ac:dyDescent="0.25">
      <c r="A393" s="25"/>
      <c r="B393" s="25"/>
      <c r="C393" s="25"/>
      <c r="D393" s="25"/>
      <c r="F393"/>
    </row>
    <row r="394" spans="1:6" s="2" customFormat="1" x14ac:dyDescent="0.25">
      <c r="A394" s="25"/>
      <c r="B394" s="25"/>
      <c r="C394" s="25"/>
      <c r="D394" s="25"/>
      <c r="F394"/>
    </row>
    <row r="395" spans="1:6" s="2" customFormat="1" x14ac:dyDescent="0.25">
      <c r="A395" s="51" t="s">
        <v>0</v>
      </c>
      <c r="B395" s="52"/>
      <c r="C395" s="52"/>
      <c r="D395" s="52"/>
      <c r="F395"/>
    </row>
    <row r="396" spans="1:6" s="2" customFormat="1" x14ac:dyDescent="0.25">
      <c r="A396" s="21" t="s">
        <v>32</v>
      </c>
      <c r="B396" s="22" t="s">
        <v>56</v>
      </c>
      <c r="C396" s="21" t="s">
        <v>2</v>
      </c>
      <c r="D396" s="39">
        <f>'[1]Yearly sheet_Assumed'!G21</f>
        <v>8100501201836</v>
      </c>
      <c r="F396"/>
    </row>
    <row r="397" spans="1:6" s="2" customFormat="1" x14ac:dyDescent="0.25">
      <c r="A397" s="21" t="s">
        <v>1</v>
      </c>
      <c r="B397" s="4" t="str">
        <f>[1]May!A21</f>
        <v xml:space="preserve">	Gyanendra Paudel</v>
      </c>
      <c r="C397" s="21" t="s">
        <v>5</v>
      </c>
      <c r="D397" s="4" t="str">
        <f>'[1]Yearly sheet_Assumed'!H21</f>
        <v>Everest Bank Ltd.</v>
      </c>
      <c r="F397"/>
    </row>
    <row r="398" spans="1:6" s="2" customFormat="1" x14ac:dyDescent="0.25">
      <c r="A398" s="21" t="s">
        <v>4</v>
      </c>
      <c r="B398" s="11" t="str">
        <f>'[1]Yearly sheet_Assumed'!D21</f>
        <v>Data Engineer</v>
      </c>
      <c r="C398" s="21" t="s">
        <v>7</v>
      </c>
      <c r="D398" s="4" t="str">
        <f>'[1]Yearly sheet_Assumed'!I21</f>
        <v>Naxal</v>
      </c>
      <c r="F398"/>
    </row>
    <row r="399" spans="1:6" s="2" customFormat="1" x14ac:dyDescent="0.25">
      <c r="A399" s="21" t="s">
        <v>6</v>
      </c>
      <c r="B399" s="4">
        <f>'[1]Yearly sheet_Assumed'!E21</f>
        <v>133827510</v>
      </c>
      <c r="C399" s="53"/>
      <c r="D399" s="53"/>
      <c r="F399"/>
    </row>
    <row r="400" spans="1:6" s="2" customFormat="1" x14ac:dyDescent="0.25">
      <c r="A400" s="21" t="s">
        <v>8</v>
      </c>
      <c r="B400" s="4" t="str">
        <f>'[1]Yearly sheet_Assumed'!C21</f>
        <v xml:space="preserve">	981378584</v>
      </c>
      <c r="C400" s="24" t="s">
        <v>35</v>
      </c>
      <c r="D400" s="1" t="str">
        <f>'[1]Yearly sheet_Assumed'!F21</f>
        <v>Unmarried</v>
      </c>
      <c r="F400"/>
    </row>
    <row r="401" spans="1:6" s="2" customFormat="1" x14ac:dyDescent="0.25">
      <c r="A401" s="51" t="s">
        <v>9</v>
      </c>
      <c r="B401" s="52"/>
      <c r="C401" s="51" t="s">
        <v>10</v>
      </c>
      <c r="D401" s="52"/>
      <c r="F401"/>
    </row>
    <row r="402" spans="1:6" s="2" customFormat="1" x14ac:dyDescent="0.25">
      <c r="A402" s="8" t="s">
        <v>11</v>
      </c>
      <c r="B402" s="26">
        <f>'[1]Yearly sheet'!J21</f>
        <v>53664</v>
      </c>
      <c r="C402" s="8" t="s">
        <v>12</v>
      </c>
      <c r="D402" s="26">
        <f>'[1]Yearly sheet'!AO21</f>
        <v>491757.38181818184</v>
      </c>
      <c r="F402"/>
    </row>
    <row r="403" spans="1:6" s="2" customFormat="1" x14ac:dyDescent="0.25">
      <c r="A403" s="8" t="s">
        <v>13</v>
      </c>
      <c r="B403" s="26">
        <f>'[1]Yearly sheet'!K21</f>
        <v>35776</v>
      </c>
      <c r="C403" s="8" t="s">
        <v>14</v>
      </c>
      <c r="D403" s="26">
        <f>'[1]Yearly sheet'!BB21</f>
        <v>81666.850909090906</v>
      </c>
      <c r="F403"/>
    </row>
    <row r="404" spans="1:6" s="2" customFormat="1" x14ac:dyDescent="0.25">
      <c r="A404" s="8" t="s">
        <v>15</v>
      </c>
      <c r="B404" s="27">
        <f>B402+B403</f>
        <v>89440</v>
      </c>
      <c r="C404" s="8" t="s">
        <v>16</v>
      </c>
      <c r="D404" s="26">
        <f>'[1]Yearly sheet'!BZ21</f>
        <v>2483.3518842975222</v>
      </c>
      <c r="F404"/>
    </row>
    <row r="405" spans="1:6" s="2" customFormat="1" x14ac:dyDescent="0.25">
      <c r="A405" s="3" t="s">
        <v>17</v>
      </c>
      <c r="B405" s="27">
        <v>400</v>
      </c>
      <c r="C405" s="3" t="s">
        <v>18</v>
      </c>
      <c r="D405" s="27">
        <f>D402-D403-D404</f>
        <v>407607.17902479344</v>
      </c>
      <c r="F405"/>
    </row>
    <row r="406" spans="1:6" s="2" customFormat="1" x14ac:dyDescent="0.25">
      <c r="A406" s="11" t="s">
        <v>19</v>
      </c>
      <c r="B406" s="26">
        <f>[1]May!G21</f>
        <v>10732.800000000001</v>
      </c>
      <c r="C406" s="54" t="str">
        <f>C384</f>
        <v xml:space="preserve">*Here, "Annual" denotes the financial year from July 17, 2025 to May 31, 2026. </v>
      </c>
      <c r="D406" s="55"/>
      <c r="F406"/>
    </row>
    <row r="407" spans="1:6" s="2" customFormat="1" x14ac:dyDescent="0.25">
      <c r="A407" s="8" t="s">
        <v>21</v>
      </c>
      <c r="B407" s="26">
        <v>0</v>
      </c>
      <c r="C407" s="56"/>
      <c r="D407" s="57"/>
      <c r="F407"/>
    </row>
    <row r="408" spans="1:6" s="2" customFormat="1" x14ac:dyDescent="0.25">
      <c r="A408" s="8" t="s">
        <v>22</v>
      </c>
      <c r="B408" s="27">
        <f>B405+B406+B407</f>
        <v>11132.800000000001</v>
      </c>
      <c r="C408" s="56"/>
      <c r="D408" s="57"/>
      <c r="F408"/>
    </row>
    <row r="409" spans="1:6" s="2" customFormat="1" x14ac:dyDescent="0.25">
      <c r="A409" s="60" t="s">
        <v>23</v>
      </c>
      <c r="B409" s="52"/>
      <c r="C409" s="56"/>
      <c r="D409" s="57"/>
      <c r="F409"/>
    </row>
    <row r="410" spans="1:6" s="2" customFormat="1" x14ac:dyDescent="0.25">
      <c r="A410" s="11" t="s">
        <v>19</v>
      </c>
      <c r="B410" s="26">
        <f>B406</f>
        <v>10732.800000000001</v>
      </c>
      <c r="C410" s="58"/>
      <c r="D410" s="59"/>
      <c r="F410"/>
    </row>
    <row r="411" spans="1:6" s="2" customFormat="1" x14ac:dyDescent="0.25">
      <c r="A411" s="11" t="s">
        <v>24</v>
      </c>
      <c r="B411" s="26">
        <f>[1]May!I21</f>
        <v>5903.04</v>
      </c>
      <c r="C411" s="51" t="s">
        <v>25</v>
      </c>
      <c r="D411" s="52"/>
      <c r="F411"/>
    </row>
    <row r="412" spans="1:6" s="2" customFormat="1" x14ac:dyDescent="0.25">
      <c r="A412" s="8" t="s">
        <v>26</v>
      </c>
      <c r="B412" s="26">
        <f>[1]May!T21</f>
        <v>507.39547107438045</v>
      </c>
      <c r="C412" s="8" t="s">
        <v>27</v>
      </c>
      <c r="D412" s="12">
        <v>46143</v>
      </c>
      <c r="F412"/>
    </row>
    <row r="413" spans="1:6" s="2" customFormat="1" x14ac:dyDescent="0.25">
      <c r="A413" s="8" t="s">
        <v>28</v>
      </c>
      <c r="B413" s="27">
        <f>SUM(B410:B412)</f>
        <v>17143.235471074382</v>
      </c>
      <c r="C413" s="8" t="s">
        <v>29</v>
      </c>
      <c r="D413" s="13" t="s">
        <v>30</v>
      </c>
      <c r="F413"/>
    </row>
    <row r="414" spans="1:6" s="2" customFormat="1" x14ac:dyDescent="0.25">
      <c r="A414" s="14" t="s">
        <v>31</v>
      </c>
      <c r="B414" s="28">
        <f>B408-B413</f>
        <v>-6010.435471074381</v>
      </c>
      <c r="C414" s="16"/>
      <c r="D414" s="17"/>
      <c r="F414"/>
    </row>
    <row r="415" spans="1:6" s="2" customFormat="1" x14ac:dyDescent="0.25">
      <c r="A415" s="25"/>
      <c r="B415" s="25"/>
      <c r="C415" s="25"/>
      <c r="D415" s="25"/>
      <c r="F415"/>
    </row>
    <row r="416" spans="1:6" s="2" customFormat="1" x14ac:dyDescent="0.25">
      <c r="A416" s="25"/>
      <c r="B416" s="25"/>
      <c r="C416" s="25"/>
      <c r="D416" s="25"/>
      <c r="F416"/>
    </row>
    <row r="417" spans="1:6" s="2" customFormat="1" x14ac:dyDescent="0.25">
      <c r="A417" s="51" t="s">
        <v>0</v>
      </c>
      <c r="B417" s="52"/>
      <c r="C417" s="52"/>
      <c r="D417" s="52"/>
      <c r="F417"/>
    </row>
    <row r="418" spans="1:6" s="2" customFormat="1" x14ac:dyDescent="0.25">
      <c r="A418" s="21" t="s">
        <v>32</v>
      </c>
      <c r="B418" s="22" t="s">
        <v>57</v>
      </c>
      <c r="C418" s="21" t="s">
        <v>2</v>
      </c>
      <c r="D418" s="39">
        <f>'[1]Yearly sheet_Assumed'!G22</f>
        <v>8200501205169</v>
      </c>
      <c r="F418"/>
    </row>
    <row r="419" spans="1:6" s="2" customFormat="1" x14ac:dyDescent="0.25">
      <c r="A419" s="21" t="s">
        <v>1</v>
      </c>
      <c r="B419" s="4" t="str">
        <f>[1]Jan!A22</f>
        <v>Prem Raj Pandey</v>
      </c>
      <c r="C419" s="21" t="s">
        <v>5</v>
      </c>
      <c r="D419" s="4" t="str">
        <f>'[1]Yearly sheet_Assumed'!H22</f>
        <v>Everest Bank Ltd.</v>
      </c>
      <c r="F419"/>
    </row>
    <row r="420" spans="1:6" s="2" customFormat="1" x14ac:dyDescent="0.25">
      <c r="A420" s="21" t="s">
        <v>4</v>
      </c>
      <c r="B420" s="11" t="str">
        <f>'[1]Yearly sheet_Assumed'!D22</f>
        <v>Data Engineer</v>
      </c>
      <c r="C420" s="21" t="s">
        <v>7</v>
      </c>
      <c r="D420" s="4" t="str">
        <f>'[1]Yearly sheet_Assumed'!I22</f>
        <v xml:space="preserve">Jadibuti </v>
      </c>
      <c r="F420"/>
    </row>
    <row r="421" spans="1:6" s="2" customFormat="1" x14ac:dyDescent="0.25">
      <c r="A421" s="21" t="s">
        <v>6</v>
      </c>
      <c r="B421" s="4">
        <f>'[1]Yearly sheet_Assumed'!E22</f>
        <v>109484024</v>
      </c>
      <c r="C421" s="53"/>
      <c r="D421" s="53"/>
      <c r="F421"/>
    </row>
    <row r="422" spans="1:6" s="2" customFormat="1" x14ac:dyDescent="0.25">
      <c r="A422" s="21" t="s">
        <v>8</v>
      </c>
      <c r="B422" s="4">
        <f>'[1]Yearly sheet_Assumed'!C22</f>
        <v>9860186770</v>
      </c>
      <c r="C422" s="24" t="s">
        <v>35</v>
      </c>
      <c r="D422" s="1" t="str">
        <f>'[1]Yearly sheet_Assumed'!F22</f>
        <v>Married</v>
      </c>
      <c r="F422"/>
    </row>
    <row r="423" spans="1:6" s="2" customFormat="1" x14ac:dyDescent="0.25">
      <c r="A423" s="51" t="s">
        <v>9</v>
      </c>
      <c r="B423" s="52"/>
      <c r="C423" s="51" t="s">
        <v>10</v>
      </c>
      <c r="D423" s="52"/>
      <c r="F423"/>
    </row>
    <row r="424" spans="1:6" s="2" customFormat="1" x14ac:dyDescent="0.25">
      <c r="A424" s="8" t="s">
        <v>11</v>
      </c>
      <c r="B424" s="26">
        <f>'[1]Yearly sheet'!J22</f>
        <v>109980</v>
      </c>
      <c r="C424" s="8" t="s">
        <v>12</v>
      </c>
      <c r="D424" s="26">
        <f>'[1]Yearly sheet'!AO22</f>
        <v>933163.63636363624</v>
      </c>
      <c r="F424"/>
    </row>
    <row r="425" spans="1:6" s="2" customFormat="1" x14ac:dyDescent="0.25">
      <c r="A425" s="8" t="s">
        <v>13</v>
      </c>
      <c r="B425" s="26">
        <f>'[1]Yearly sheet'!K22</f>
        <v>73320</v>
      </c>
      <c r="C425" s="8" t="s">
        <v>14</v>
      </c>
      <c r="D425" s="26">
        <f>'[1]Yearly sheet'!BB22</f>
        <v>154971.81818181818</v>
      </c>
      <c r="F425"/>
    </row>
    <row r="426" spans="1:6" s="2" customFormat="1" x14ac:dyDescent="0.25">
      <c r="A426" s="8" t="s">
        <v>15</v>
      </c>
      <c r="B426" s="27">
        <f>B424+B425</f>
        <v>183300</v>
      </c>
      <c r="C426" s="8" t="s">
        <v>16</v>
      </c>
      <c r="D426" s="26">
        <f>'[1]Yearly sheet'!BZ22</f>
        <v>49352.389917355351</v>
      </c>
      <c r="F426"/>
    </row>
    <row r="427" spans="1:6" s="2" customFormat="1" x14ac:dyDescent="0.25">
      <c r="A427" s="3" t="s">
        <v>17</v>
      </c>
      <c r="B427" s="27">
        <v>400</v>
      </c>
      <c r="C427" s="3" t="s">
        <v>18</v>
      </c>
      <c r="D427" s="27">
        <f>D424-D425-D426</f>
        <v>728839.42826446274</v>
      </c>
      <c r="F427"/>
    </row>
    <row r="428" spans="1:6" s="2" customFormat="1" x14ac:dyDescent="0.25">
      <c r="A428" s="11" t="s">
        <v>19</v>
      </c>
      <c r="B428" s="26">
        <f>[1]May!G22</f>
        <v>21996</v>
      </c>
      <c r="C428" s="54" t="str">
        <f>C406</f>
        <v xml:space="preserve">*Here, "Annual" denotes the financial year from July 17, 2025 to May 31, 2026. </v>
      </c>
      <c r="D428" s="55"/>
      <c r="F428"/>
    </row>
    <row r="429" spans="1:6" s="2" customFormat="1" x14ac:dyDescent="0.25">
      <c r="A429" s="8" t="s">
        <v>21</v>
      </c>
      <c r="B429" s="26">
        <v>0</v>
      </c>
      <c r="C429" s="56"/>
      <c r="D429" s="57"/>
      <c r="F429"/>
    </row>
    <row r="430" spans="1:6" s="2" customFormat="1" x14ac:dyDescent="0.25">
      <c r="A430" s="8" t="s">
        <v>22</v>
      </c>
      <c r="B430" s="27">
        <f>B427+B428+B429</f>
        <v>22396</v>
      </c>
      <c r="C430" s="56"/>
      <c r="D430" s="57"/>
      <c r="F430"/>
    </row>
    <row r="431" spans="1:6" s="2" customFormat="1" x14ac:dyDescent="0.25">
      <c r="A431" s="60" t="s">
        <v>23</v>
      </c>
      <c r="B431" s="52"/>
      <c r="C431" s="56"/>
      <c r="D431" s="57"/>
      <c r="F431"/>
    </row>
    <row r="432" spans="1:6" s="2" customFormat="1" x14ac:dyDescent="0.25">
      <c r="A432" s="11" t="s">
        <v>19</v>
      </c>
      <c r="B432" s="26">
        <f>B428</f>
        <v>21996</v>
      </c>
      <c r="C432" s="58"/>
      <c r="D432" s="59"/>
      <c r="F432"/>
    </row>
    <row r="433" spans="1:6" s="2" customFormat="1" x14ac:dyDescent="0.25">
      <c r="A433" s="11" t="s">
        <v>24</v>
      </c>
      <c r="B433" s="26">
        <f>[1]May!I22</f>
        <v>12097.8</v>
      </c>
      <c r="C433" s="51" t="s">
        <v>25</v>
      </c>
      <c r="D433" s="52"/>
      <c r="F433"/>
    </row>
    <row r="434" spans="1:6" s="2" customFormat="1" x14ac:dyDescent="0.25">
      <c r="A434" s="8" t="s">
        <v>26</v>
      </c>
      <c r="B434" s="26">
        <f>[1]May!T22</f>
        <v>10957.902479338838</v>
      </c>
      <c r="C434" s="8" t="s">
        <v>27</v>
      </c>
      <c r="D434" s="12">
        <v>46143</v>
      </c>
      <c r="F434"/>
    </row>
    <row r="435" spans="1:6" s="2" customFormat="1" x14ac:dyDescent="0.25">
      <c r="A435" s="8" t="s">
        <v>28</v>
      </c>
      <c r="B435" s="27">
        <f>SUM(B432:B434)</f>
        <v>45051.702479338841</v>
      </c>
      <c r="C435" s="8" t="s">
        <v>29</v>
      </c>
      <c r="D435" s="13" t="s">
        <v>30</v>
      </c>
      <c r="F435"/>
    </row>
    <row r="436" spans="1:6" s="2" customFormat="1" x14ac:dyDescent="0.25">
      <c r="A436" s="14" t="s">
        <v>31</v>
      </c>
      <c r="B436" s="28">
        <f>B430-B435</f>
        <v>-22655.702479338841</v>
      </c>
      <c r="C436" s="16"/>
      <c r="D436" s="17"/>
      <c r="F436"/>
    </row>
    <row r="437" spans="1:6" s="2" customFormat="1" x14ac:dyDescent="0.25">
      <c r="A437" s="25"/>
      <c r="B437" s="25"/>
      <c r="C437" s="25"/>
      <c r="D437" s="25"/>
      <c r="F437"/>
    </row>
    <row r="438" spans="1:6" s="2" customFormat="1" x14ac:dyDescent="0.25">
      <c r="A438" s="25"/>
      <c r="B438" s="25"/>
      <c r="C438" s="25"/>
      <c r="D438" s="25"/>
      <c r="F438"/>
    </row>
    <row r="439" spans="1:6" s="2" customFormat="1" x14ac:dyDescent="0.25">
      <c r="A439" s="51" t="s">
        <v>0</v>
      </c>
      <c r="B439" s="52"/>
      <c r="C439" s="52"/>
      <c r="D439" s="52"/>
      <c r="F439"/>
    </row>
    <row r="440" spans="1:6" s="2" customFormat="1" x14ac:dyDescent="0.25">
      <c r="A440" s="21" t="s">
        <v>32</v>
      </c>
      <c r="B440" s="22" t="s">
        <v>58</v>
      </c>
      <c r="C440" s="21" t="s">
        <v>2</v>
      </c>
      <c r="D440" s="39">
        <f>'[1]Yearly sheet'!G23</f>
        <v>8500501204251</v>
      </c>
      <c r="F440"/>
    </row>
    <row r="441" spans="1:6" s="2" customFormat="1" x14ac:dyDescent="0.25">
      <c r="A441" s="21" t="s">
        <v>1</v>
      </c>
      <c r="B441" s="4" t="str">
        <f>[1]Feb!A23</f>
        <v>Aakash Shakya</v>
      </c>
      <c r="C441" s="21" t="s">
        <v>5</v>
      </c>
      <c r="D441" s="4" t="str">
        <f>'[1]Yearly sheet'!H23</f>
        <v>Everest Bank Ltd.</v>
      </c>
      <c r="F441"/>
    </row>
    <row r="442" spans="1:6" s="2" customFormat="1" x14ac:dyDescent="0.25">
      <c r="A442" s="21" t="s">
        <v>4</v>
      </c>
      <c r="B442" s="11" t="str">
        <f>'[1]Yearly sheet_Assumed'!D23</f>
        <v>GenAI Engineer</v>
      </c>
      <c r="C442" s="21" t="s">
        <v>7</v>
      </c>
      <c r="D442" s="4" t="str">
        <f>'[1]Yearly sheet'!I23</f>
        <v>Sanagaon</v>
      </c>
      <c r="F442"/>
    </row>
    <row r="443" spans="1:6" s="2" customFormat="1" x14ac:dyDescent="0.25">
      <c r="A443" s="21" t="s">
        <v>6</v>
      </c>
      <c r="B443" s="4">
        <f>'[1]Yearly sheet_Assumed'!E23</f>
        <v>138665470</v>
      </c>
      <c r="C443" s="53"/>
      <c r="D443" s="53"/>
      <c r="F443"/>
    </row>
    <row r="444" spans="1:6" s="2" customFormat="1" x14ac:dyDescent="0.25">
      <c r="A444" s="21" t="s">
        <v>8</v>
      </c>
      <c r="B444" s="4">
        <f>'[1]Yearly sheet_Assumed'!C23</f>
        <v>9861887935</v>
      </c>
      <c r="C444" s="24" t="s">
        <v>35</v>
      </c>
      <c r="D444" s="1" t="str">
        <f>'[1]Yearly sheet_Assumed'!F23</f>
        <v>Unmarried</v>
      </c>
      <c r="F444"/>
    </row>
    <row r="445" spans="1:6" s="2" customFormat="1" x14ac:dyDescent="0.25">
      <c r="A445" s="51" t="s">
        <v>9</v>
      </c>
      <c r="B445" s="52"/>
      <c r="C445" s="51" t="s">
        <v>10</v>
      </c>
      <c r="D445" s="52"/>
      <c r="F445"/>
    </row>
    <row r="446" spans="1:6" s="2" customFormat="1" x14ac:dyDescent="0.25">
      <c r="A446" s="8" t="s">
        <v>11</v>
      </c>
      <c r="B446" s="26">
        <f>'[1]Yearly sheet_Assumed'!J23</f>
        <v>64584</v>
      </c>
      <c r="C446" s="8" t="s">
        <v>12</v>
      </c>
      <c r="D446" s="26">
        <f>'[1]Yearly sheet'!AO23</f>
        <v>482227.20000000001</v>
      </c>
      <c r="F446"/>
    </row>
    <row r="447" spans="1:6" s="2" customFormat="1" x14ac:dyDescent="0.25">
      <c r="A447" s="8" t="s">
        <v>13</v>
      </c>
      <c r="B447" s="26">
        <f>'[1]Yearly sheet_Assumed'!K23</f>
        <v>43056</v>
      </c>
      <c r="C447" s="8" t="s">
        <v>14</v>
      </c>
      <c r="D447" s="26">
        <f>'[1]Yearly sheet'!BB23</f>
        <v>80084.160000000003</v>
      </c>
      <c r="F447"/>
    </row>
    <row r="448" spans="1:6" s="2" customFormat="1" x14ac:dyDescent="0.25">
      <c r="A448" s="8" t="s">
        <v>15</v>
      </c>
      <c r="B448" s="27">
        <f>B446+B447</f>
        <v>107640</v>
      </c>
      <c r="C448" s="8" t="s">
        <v>16</v>
      </c>
      <c r="D448" s="26">
        <f>'[1]Yearly sheet'!BZ23</f>
        <v>3592.3316363636404</v>
      </c>
      <c r="F448"/>
    </row>
    <row r="449" spans="1:6" s="2" customFormat="1" x14ac:dyDescent="0.25">
      <c r="A449" s="3" t="s">
        <v>17</v>
      </c>
      <c r="B449" s="27">
        <v>400</v>
      </c>
      <c r="C449" s="3" t="s">
        <v>18</v>
      </c>
      <c r="D449" s="27">
        <f>D446-D447-D448</f>
        <v>398550.7083636364</v>
      </c>
      <c r="F449"/>
    </row>
    <row r="450" spans="1:6" s="2" customFormat="1" x14ac:dyDescent="0.25">
      <c r="A450" s="11" t="s">
        <v>19</v>
      </c>
      <c r="B450" s="26">
        <f>[1]May!G23</f>
        <v>12916.800000000001</v>
      </c>
      <c r="C450" s="54" t="str">
        <f>C428</f>
        <v xml:space="preserve">*Here, "Annual" denotes the financial year from July 17, 2025 to May 31, 2026. </v>
      </c>
      <c r="D450" s="55"/>
      <c r="F450"/>
    </row>
    <row r="451" spans="1:6" s="2" customFormat="1" x14ac:dyDescent="0.25">
      <c r="A451" s="8" t="s">
        <v>21</v>
      </c>
      <c r="B451" s="26">
        <f>[1]May!F23</f>
        <v>0</v>
      </c>
      <c r="C451" s="56"/>
      <c r="D451" s="57"/>
      <c r="F451"/>
    </row>
    <row r="452" spans="1:6" s="2" customFormat="1" x14ac:dyDescent="0.25">
      <c r="A452" s="8" t="s">
        <v>22</v>
      </c>
      <c r="B452" s="27">
        <f>B449+B450+B451</f>
        <v>13316.800000000001</v>
      </c>
      <c r="C452" s="56"/>
      <c r="D452" s="57"/>
      <c r="F452"/>
    </row>
    <row r="453" spans="1:6" s="2" customFormat="1" x14ac:dyDescent="0.25">
      <c r="A453" s="60" t="s">
        <v>23</v>
      </c>
      <c r="B453" s="52"/>
      <c r="C453" s="56"/>
      <c r="D453" s="57"/>
      <c r="F453"/>
    </row>
    <row r="454" spans="1:6" s="2" customFormat="1" x14ac:dyDescent="0.25">
      <c r="A454" s="11" t="s">
        <v>19</v>
      </c>
      <c r="B454" s="26">
        <f>B450</f>
        <v>12916.800000000001</v>
      </c>
      <c r="C454" s="58"/>
      <c r="D454" s="59"/>
      <c r="F454"/>
    </row>
    <row r="455" spans="1:6" s="2" customFormat="1" x14ac:dyDescent="0.25">
      <c r="A455" s="11" t="s">
        <v>24</v>
      </c>
      <c r="B455" s="26">
        <f>[1]May!I23</f>
        <v>7104.24</v>
      </c>
      <c r="C455" s="51" t="s">
        <v>25</v>
      </c>
      <c r="D455" s="52"/>
      <c r="F455"/>
    </row>
    <row r="456" spans="1:6" s="2" customFormat="1" x14ac:dyDescent="0.25">
      <c r="A456" s="8" t="s">
        <v>26</v>
      </c>
      <c r="B456" s="26">
        <f>[1]May!T23</f>
        <v>898.08290909091011</v>
      </c>
      <c r="C456" s="8" t="s">
        <v>27</v>
      </c>
      <c r="D456" s="12">
        <v>46143</v>
      </c>
      <c r="F456"/>
    </row>
    <row r="457" spans="1:6" s="2" customFormat="1" x14ac:dyDescent="0.25">
      <c r="A457" s="8" t="s">
        <v>28</v>
      </c>
      <c r="B457" s="27">
        <f>SUM(B454:B456)</f>
        <v>20919.122909090911</v>
      </c>
      <c r="C457" s="8" t="s">
        <v>29</v>
      </c>
      <c r="D457" s="13" t="s">
        <v>30</v>
      </c>
      <c r="F457"/>
    </row>
    <row r="458" spans="1:6" s="2" customFormat="1" x14ac:dyDescent="0.25">
      <c r="A458" s="14" t="s">
        <v>31</v>
      </c>
      <c r="B458" s="28">
        <f>B452-B457</f>
        <v>-7602.3229090909099</v>
      </c>
      <c r="C458" s="16"/>
      <c r="D458" s="17"/>
      <c r="F458"/>
    </row>
    <row r="459" spans="1:6" s="2" customFormat="1" x14ac:dyDescent="0.25">
      <c r="A459" s="25"/>
      <c r="B459" s="25"/>
      <c r="C459" s="25"/>
      <c r="D459" s="25"/>
      <c r="F459"/>
    </row>
    <row r="460" spans="1:6" s="2" customFormat="1" x14ac:dyDescent="0.25">
      <c r="A460" s="25"/>
      <c r="B460" s="25"/>
      <c r="C460" s="25"/>
      <c r="D460" s="25"/>
      <c r="F460"/>
    </row>
    <row r="461" spans="1:6" s="2" customFormat="1" x14ac:dyDescent="0.25">
      <c r="A461" s="51" t="s">
        <v>0</v>
      </c>
      <c r="B461" s="52"/>
      <c r="C461" s="52"/>
      <c r="D461" s="52"/>
      <c r="F461"/>
    </row>
    <row r="462" spans="1:6" s="2" customFormat="1" x14ac:dyDescent="0.25">
      <c r="A462" s="21" t="s">
        <v>32</v>
      </c>
      <c r="B462" s="22" t="s">
        <v>59</v>
      </c>
      <c r="C462" s="21" t="s">
        <v>2</v>
      </c>
      <c r="D462" s="39">
        <f>'[1]Yearly sheet'!G24</f>
        <v>1000527201007</v>
      </c>
      <c r="F462"/>
    </row>
    <row r="463" spans="1:6" s="2" customFormat="1" x14ac:dyDescent="0.25">
      <c r="A463" s="21" t="s">
        <v>1</v>
      </c>
      <c r="B463" s="4" t="str">
        <f>[1]May!A24</f>
        <v>Pramesh Adhikari</v>
      </c>
      <c r="C463" s="21" t="s">
        <v>5</v>
      </c>
      <c r="D463" s="4" t="str">
        <f>'[1]Yearly sheet'!H24</f>
        <v>Everest Bank Ltd.</v>
      </c>
      <c r="F463"/>
    </row>
    <row r="464" spans="1:6" s="2" customFormat="1" x14ac:dyDescent="0.25">
      <c r="A464" s="21" t="s">
        <v>4</v>
      </c>
      <c r="B464" s="11" t="str">
        <f>'[1]Yearly sheet'!D24</f>
        <v>Senior Databricks Data Engineer</v>
      </c>
      <c r="C464" s="21" t="s">
        <v>7</v>
      </c>
      <c r="D464" s="4" t="str">
        <f>'[1]Yearly sheet'!I24</f>
        <v>Teku</v>
      </c>
      <c r="F464"/>
    </row>
    <row r="465" spans="1:6" s="2" customFormat="1" x14ac:dyDescent="0.25">
      <c r="A465" s="21" t="s">
        <v>6</v>
      </c>
      <c r="B465" s="4">
        <f>'[1]Yearly sheet'!E24</f>
        <v>131397912</v>
      </c>
      <c r="C465" s="53"/>
      <c r="D465" s="53"/>
      <c r="F465"/>
    </row>
    <row r="466" spans="1:6" s="2" customFormat="1" x14ac:dyDescent="0.25">
      <c r="A466" s="21" t="s">
        <v>8</v>
      </c>
      <c r="B466" s="4">
        <f>'[1]Yearly sheet_Assumed'!C67</f>
        <v>0</v>
      </c>
      <c r="C466" s="24" t="s">
        <v>35</v>
      </c>
      <c r="D466" s="1" t="str">
        <f>'[1]Yearly sheet'!F24</f>
        <v>Unmarried</v>
      </c>
      <c r="F466"/>
    </row>
    <row r="467" spans="1:6" s="2" customFormat="1" x14ac:dyDescent="0.25">
      <c r="A467" s="51" t="s">
        <v>9</v>
      </c>
      <c r="B467" s="52"/>
      <c r="C467" s="51" t="s">
        <v>10</v>
      </c>
      <c r="D467" s="52"/>
      <c r="F467"/>
    </row>
    <row r="468" spans="1:6" s="2" customFormat="1" x14ac:dyDescent="0.25">
      <c r="A468" s="8" t="s">
        <v>11</v>
      </c>
      <c r="B468" s="26">
        <f>'[1]Yearly sheet_Assumed'!J24</f>
        <v>128622</v>
      </c>
      <c r="C468" s="8" t="s">
        <v>12</v>
      </c>
      <c r="D468" s="26">
        <f>'[1]Yearly sheet'!AO24</f>
        <v>960377.6</v>
      </c>
      <c r="F468"/>
    </row>
    <row r="469" spans="1:6" s="2" customFormat="1" x14ac:dyDescent="0.25">
      <c r="A469" s="8" t="s">
        <v>13</v>
      </c>
      <c r="B469" s="26">
        <f>'[1]Yearly sheet_Assumed'!K24</f>
        <v>85748</v>
      </c>
      <c r="C469" s="8" t="s">
        <v>14</v>
      </c>
      <c r="D469" s="26">
        <f>'[1]Yearly sheet'!BB24</f>
        <v>159491.28</v>
      </c>
      <c r="F469"/>
    </row>
    <row r="470" spans="1:6" s="2" customFormat="1" x14ac:dyDescent="0.25">
      <c r="A470" s="8" t="s">
        <v>15</v>
      </c>
      <c r="B470" s="27">
        <f>B468+B469</f>
        <v>214370</v>
      </c>
      <c r="C470" s="8" t="s">
        <v>16</v>
      </c>
      <c r="D470" s="26">
        <f>'[1]Yearly sheet'!BZ24</f>
        <v>78722.432000000001</v>
      </c>
      <c r="F470"/>
    </row>
    <row r="471" spans="1:6" s="2" customFormat="1" x14ac:dyDescent="0.25">
      <c r="A471" s="3" t="s">
        <v>17</v>
      </c>
      <c r="B471" s="27">
        <v>400</v>
      </c>
      <c r="C471" s="3" t="s">
        <v>18</v>
      </c>
      <c r="D471" s="27">
        <f>D468-D469-D470</f>
        <v>722163.88799999992</v>
      </c>
      <c r="F471"/>
    </row>
    <row r="472" spans="1:6" s="2" customFormat="1" x14ac:dyDescent="0.25">
      <c r="A472" s="11" t="s">
        <v>19</v>
      </c>
      <c r="B472" s="26">
        <f>[1]May!G24</f>
        <v>25724.400000000001</v>
      </c>
      <c r="C472" s="54" t="str">
        <f>C450</f>
        <v xml:space="preserve">*Here, "Annual" denotes the financial year from July 17, 2025 to May 31, 2026. </v>
      </c>
      <c r="D472" s="55"/>
      <c r="F472"/>
    </row>
    <row r="473" spans="1:6" s="2" customFormat="1" x14ac:dyDescent="0.25">
      <c r="A473" s="8" t="s">
        <v>21</v>
      </c>
      <c r="B473" s="26">
        <f>[1]May!F24</f>
        <v>0</v>
      </c>
      <c r="C473" s="56"/>
      <c r="D473" s="57"/>
      <c r="F473"/>
    </row>
    <row r="474" spans="1:6" s="2" customFormat="1" x14ac:dyDescent="0.25">
      <c r="A474" s="8" t="s">
        <v>22</v>
      </c>
      <c r="B474" s="27">
        <f>B471+B472+B473</f>
        <v>26124.400000000001</v>
      </c>
      <c r="C474" s="56"/>
      <c r="D474" s="57"/>
      <c r="F474"/>
    </row>
    <row r="475" spans="1:6" s="2" customFormat="1" x14ac:dyDescent="0.25">
      <c r="A475" s="60" t="s">
        <v>23</v>
      </c>
      <c r="B475" s="52"/>
      <c r="C475" s="56"/>
      <c r="D475" s="57"/>
      <c r="F475"/>
    </row>
    <row r="476" spans="1:6" s="2" customFormat="1" x14ac:dyDescent="0.25">
      <c r="A476" s="11" t="s">
        <v>19</v>
      </c>
      <c r="B476" s="26">
        <f>B472</f>
        <v>25724.400000000001</v>
      </c>
      <c r="C476" s="58"/>
      <c r="D476" s="59"/>
      <c r="F476"/>
    </row>
    <row r="477" spans="1:6" s="2" customFormat="1" x14ac:dyDescent="0.25">
      <c r="A477" s="11" t="s">
        <v>24</v>
      </c>
      <c r="B477" s="26">
        <f>[1]May!I24</f>
        <v>14148.42</v>
      </c>
      <c r="C477" s="51" t="s">
        <v>25</v>
      </c>
      <c r="D477" s="52"/>
      <c r="F477"/>
    </row>
    <row r="478" spans="1:6" s="2" customFormat="1" x14ac:dyDescent="0.25">
      <c r="A478" s="8" t="s">
        <v>26</v>
      </c>
      <c r="B478" s="26">
        <f>[1]May!T24</f>
        <v>19680.608</v>
      </c>
      <c r="C478" s="8" t="s">
        <v>27</v>
      </c>
      <c r="D478" s="12">
        <v>46143</v>
      </c>
      <c r="F478"/>
    </row>
    <row r="479" spans="1:6" s="2" customFormat="1" x14ac:dyDescent="0.25">
      <c r="A479" s="8" t="s">
        <v>28</v>
      </c>
      <c r="B479" s="27">
        <f>SUM(B476:B478)</f>
        <v>59553.428</v>
      </c>
      <c r="C479" s="8" t="s">
        <v>29</v>
      </c>
      <c r="D479" s="13" t="s">
        <v>30</v>
      </c>
      <c r="F479"/>
    </row>
    <row r="480" spans="1:6" s="2" customFormat="1" x14ac:dyDescent="0.25">
      <c r="A480" s="14" t="s">
        <v>31</v>
      </c>
      <c r="B480" s="28">
        <f>B474-B479</f>
        <v>-33429.027999999998</v>
      </c>
      <c r="C480" s="16"/>
      <c r="D480" s="17"/>
      <c r="F480"/>
    </row>
    <row r="481" spans="1:6" s="2" customFormat="1" x14ac:dyDescent="0.25">
      <c r="A481" s="25"/>
      <c r="B481" s="25"/>
      <c r="C481" s="25"/>
      <c r="D481" s="25"/>
      <c r="F481"/>
    </row>
    <row r="482" spans="1:6" s="2" customFormat="1" x14ac:dyDescent="0.25">
      <c r="A482" s="25"/>
      <c r="B482" s="25"/>
      <c r="C482" s="25"/>
      <c r="D482" s="25"/>
      <c r="F482"/>
    </row>
    <row r="483" spans="1:6" s="2" customFormat="1" x14ac:dyDescent="0.25">
      <c r="A483" s="51" t="s">
        <v>0</v>
      </c>
      <c r="B483" s="52"/>
      <c r="C483" s="52"/>
      <c r="D483" s="52"/>
      <c r="F483"/>
    </row>
    <row r="484" spans="1:6" s="2" customFormat="1" x14ac:dyDescent="0.25">
      <c r="A484" s="21" t="s">
        <v>32</v>
      </c>
      <c r="B484" s="22" t="s">
        <v>60</v>
      </c>
      <c r="C484" s="21" t="s">
        <v>2</v>
      </c>
      <c r="D484" s="39">
        <f>'[1]Yearly sheet'!G25</f>
        <v>8100501201860</v>
      </c>
      <c r="F484"/>
    </row>
    <row r="485" spans="1:6" s="2" customFormat="1" x14ac:dyDescent="0.25">
      <c r="A485" s="21" t="s">
        <v>1</v>
      </c>
      <c r="B485" s="4" t="str">
        <f>'[1]Yearly sheet'!A25</f>
        <v>Prakash Dhakal</v>
      </c>
      <c r="C485" s="21" t="s">
        <v>5</v>
      </c>
      <c r="D485" s="4" t="str">
        <f>'[1]Yearly sheet'!H25</f>
        <v>Everest Bank Ltd.</v>
      </c>
      <c r="F485"/>
    </row>
    <row r="486" spans="1:6" s="2" customFormat="1" x14ac:dyDescent="0.25">
      <c r="A486" s="21" t="s">
        <v>4</v>
      </c>
      <c r="B486" s="4" t="str">
        <f>'[1]Yearly sheet'!D25</f>
        <v xml:space="preserve">Data Scientist </v>
      </c>
      <c r="C486" s="21" t="s">
        <v>7</v>
      </c>
      <c r="D486" s="4" t="str">
        <f>'[1]Yearly sheet'!I25</f>
        <v>Naxal</v>
      </c>
      <c r="F486"/>
    </row>
    <row r="487" spans="1:6" s="2" customFormat="1" x14ac:dyDescent="0.25">
      <c r="A487" s="21" t="s">
        <v>6</v>
      </c>
      <c r="B487" s="4">
        <f>'[1]Yearly sheet'!E25</f>
        <v>126625903</v>
      </c>
      <c r="C487" s="53"/>
      <c r="D487" s="53"/>
      <c r="F487"/>
    </row>
    <row r="488" spans="1:6" s="2" customFormat="1" x14ac:dyDescent="0.25">
      <c r="A488" s="21" t="s">
        <v>8</v>
      </c>
      <c r="B488" s="40">
        <f>'[1]Yearly sheet'!C25</f>
        <v>9860466302</v>
      </c>
      <c r="C488" s="24" t="s">
        <v>35</v>
      </c>
      <c r="D488" s="1" t="str">
        <f>'[1]Yearly sheet'!F26</f>
        <v>Unmarried</v>
      </c>
      <c r="F488"/>
    </row>
    <row r="489" spans="1:6" s="2" customFormat="1" x14ac:dyDescent="0.25">
      <c r="A489" s="51" t="s">
        <v>9</v>
      </c>
      <c r="B489" s="52"/>
      <c r="C489" s="51" t="s">
        <v>10</v>
      </c>
      <c r="D489" s="52"/>
      <c r="F489"/>
    </row>
    <row r="490" spans="1:6" s="2" customFormat="1" x14ac:dyDescent="0.25">
      <c r="A490" s="8" t="s">
        <v>11</v>
      </c>
      <c r="B490" s="26">
        <f>'[1]Yearly sheet_Assumed'!J25</f>
        <v>96564</v>
      </c>
      <c r="C490" s="8" t="s">
        <v>12</v>
      </c>
      <c r="D490" s="26">
        <f>'[1]Yearly sheet'!AO25</f>
        <v>675948</v>
      </c>
      <c r="F490"/>
    </row>
    <row r="491" spans="1:6" s="2" customFormat="1" x14ac:dyDescent="0.25">
      <c r="A491" s="8" t="s">
        <v>13</v>
      </c>
      <c r="B491" s="26">
        <f>'[1]Yearly sheet_Assumed'!K25</f>
        <v>64376</v>
      </c>
      <c r="C491" s="8" t="s">
        <v>14</v>
      </c>
      <c r="D491" s="26">
        <f>'[1]Yearly sheet'!BB25</f>
        <v>112255.65</v>
      </c>
      <c r="F491"/>
    </row>
    <row r="492" spans="1:6" s="2" customFormat="1" x14ac:dyDescent="0.25">
      <c r="A492" s="8" t="s">
        <v>15</v>
      </c>
      <c r="B492" s="27">
        <f>B490+B491</f>
        <v>160940</v>
      </c>
      <c r="C492" s="8" t="s">
        <v>16</v>
      </c>
      <c r="D492" s="26">
        <f>'[1]Yearly sheet'!BZ25</f>
        <v>26743.021090909097</v>
      </c>
      <c r="F492"/>
    </row>
    <row r="493" spans="1:6" s="2" customFormat="1" x14ac:dyDescent="0.25">
      <c r="A493" s="3" t="s">
        <v>17</v>
      </c>
      <c r="B493" s="27">
        <v>400</v>
      </c>
      <c r="C493" s="3" t="s">
        <v>18</v>
      </c>
      <c r="D493" s="27">
        <f>D490-D491-D492</f>
        <v>536949.32890909084</v>
      </c>
      <c r="F493"/>
    </row>
    <row r="494" spans="1:6" s="2" customFormat="1" x14ac:dyDescent="0.25">
      <c r="A494" s="11" t="s">
        <v>19</v>
      </c>
      <c r="B494" s="26">
        <f>[1]May!G25</f>
        <v>19312.8</v>
      </c>
      <c r="C494" s="54" t="str">
        <f>C472</f>
        <v xml:space="preserve">*Here, "Annual" denotes the financial year from July 17, 2025 to May 31, 2026. </v>
      </c>
      <c r="D494" s="55"/>
      <c r="F494"/>
    </row>
    <row r="495" spans="1:6" s="2" customFormat="1" x14ac:dyDescent="0.25">
      <c r="A495" s="8" t="s">
        <v>21</v>
      </c>
      <c r="B495" s="26">
        <f>[1]May!F25</f>
        <v>0</v>
      </c>
      <c r="C495" s="56"/>
      <c r="D495" s="57"/>
      <c r="F495"/>
    </row>
    <row r="496" spans="1:6" s="2" customFormat="1" x14ac:dyDescent="0.25">
      <c r="A496" s="8" t="s">
        <v>22</v>
      </c>
      <c r="B496" s="27">
        <f>B493+B494+B495</f>
        <v>19712.8</v>
      </c>
      <c r="C496" s="56"/>
      <c r="D496" s="57"/>
      <c r="F496"/>
    </row>
    <row r="497" spans="1:6" s="2" customFormat="1" x14ac:dyDescent="0.25">
      <c r="A497" s="60" t="s">
        <v>23</v>
      </c>
      <c r="B497" s="52"/>
      <c r="C497" s="56"/>
      <c r="D497" s="57"/>
      <c r="F497"/>
    </row>
    <row r="498" spans="1:6" s="2" customFormat="1" x14ac:dyDescent="0.25">
      <c r="A498" s="11" t="s">
        <v>19</v>
      </c>
      <c r="B498" s="26">
        <f>B494</f>
        <v>19312.8</v>
      </c>
      <c r="C498" s="58"/>
      <c r="D498" s="59"/>
      <c r="F498"/>
    </row>
    <row r="499" spans="1:6" s="2" customFormat="1" x14ac:dyDescent="0.25">
      <c r="A499" s="11" t="s">
        <v>24</v>
      </c>
      <c r="B499" s="26">
        <f>[1]May!I25</f>
        <v>10622.04</v>
      </c>
      <c r="C499" s="51" t="s">
        <v>25</v>
      </c>
      <c r="D499" s="52"/>
      <c r="F499"/>
    </row>
    <row r="500" spans="1:6" s="2" customFormat="1" x14ac:dyDescent="0.25">
      <c r="A500" s="8" t="s">
        <v>26</v>
      </c>
      <c r="B500" s="26">
        <f>[1]May!T25</f>
        <v>6685.755272727275</v>
      </c>
      <c r="C500" s="8" t="s">
        <v>27</v>
      </c>
      <c r="D500" s="12">
        <v>46143</v>
      </c>
      <c r="F500"/>
    </row>
    <row r="501" spans="1:6" s="2" customFormat="1" x14ac:dyDescent="0.25">
      <c r="A501" s="8" t="s">
        <v>28</v>
      </c>
      <c r="B501" s="27">
        <f>SUM(B498:B500)</f>
        <v>36620.595272727274</v>
      </c>
      <c r="C501" s="8" t="s">
        <v>29</v>
      </c>
      <c r="D501" s="13" t="s">
        <v>30</v>
      </c>
      <c r="F501"/>
    </row>
    <row r="502" spans="1:6" s="2" customFormat="1" x14ac:dyDescent="0.25">
      <c r="A502" s="14" t="s">
        <v>31</v>
      </c>
      <c r="B502" s="28">
        <f>B496-B501</f>
        <v>-16907.795272727275</v>
      </c>
      <c r="C502" s="16"/>
      <c r="D502" s="17"/>
      <c r="F502"/>
    </row>
    <row r="503" spans="1:6" s="2" customFormat="1" x14ac:dyDescent="0.25">
      <c r="A503" s="18"/>
      <c r="B503" s="38"/>
      <c r="C503" s="18"/>
      <c r="D503" s="20"/>
      <c r="F503"/>
    </row>
    <row r="504" spans="1:6" s="2" customFormat="1" x14ac:dyDescent="0.25">
      <c r="A504" s="25"/>
      <c r="B504" s="25"/>
      <c r="C504" s="25"/>
      <c r="D504" s="25"/>
      <c r="F504"/>
    </row>
    <row r="505" spans="1:6" s="2" customFormat="1" x14ac:dyDescent="0.25">
      <c r="A505" s="51" t="s">
        <v>0</v>
      </c>
      <c r="B505" s="52"/>
      <c r="C505" s="52"/>
      <c r="D505" s="52"/>
      <c r="F505"/>
    </row>
    <row r="506" spans="1:6" s="2" customFormat="1" x14ac:dyDescent="0.25">
      <c r="A506" s="21" t="s">
        <v>32</v>
      </c>
      <c r="B506" s="22" t="s">
        <v>61</v>
      </c>
      <c r="C506" s="21" t="s">
        <v>2</v>
      </c>
      <c r="D506" s="39">
        <f>'[1]Yearly sheet'!G26</f>
        <v>5700501205341</v>
      </c>
      <c r="F506"/>
    </row>
    <row r="507" spans="1:6" s="2" customFormat="1" x14ac:dyDescent="0.25">
      <c r="A507" s="21" t="s">
        <v>1</v>
      </c>
      <c r="B507" s="4" t="str">
        <f>'[1]Yearly sheet'!A26</f>
        <v>Sushan Kattel</v>
      </c>
      <c r="C507" s="21" t="s">
        <v>5</v>
      </c>
      <c r="D507" s="4" t="str">
        <f>'[1]Yearly sheet'!H28</f>
        <v>Everest Bank Ltd.</v>
      </c>
      <c r="F507"/>
    </row>
    <row r="508" spans="1:6" s="2" customFormat="1" x14ac:dyDescent="0.25">
      <c r="A508" s="21" t="s">
        <v>4</v>
      </c>
      <c r="B508" s="11" t="str">
        <f>'[1]Yearly sheet'!D26</f>
        <v>Data Engineer</v>
      </c>
      <c r="C508" s="21" t="s">
        <v>7</v>
      </c>
      <c r="D508" s="4">
        <f>'[1]Yearly sheet'!I26</f>
        <v>0</v>
      </c>
      <c r="F508"/>
    </row>
    <row r="509" spans="1:6" s="2" customFormat="1" x14ac:dyDescent="0.25">
      <c r="A509" s="21" t="s">
        <v>6</v>
      </c>
      <c r="B509" s="4">
        <f>'[1]Yearly sheet'!E26</f>
        <v>122009697</v>
      </c>
      <c r="C509" s="53"/>
      <c r="D509" s="53"/>
      <c r="F509"/>
    </row>
    <row r="510" spans="1:6" s="2" customFormat="1" x14ac:dyDescent="0.25">
      <c r="A510" s="21" t="s">
        <v>8</v>
      </c>
      <c r="B510" s="4">
        <f>'[1]Yearly sheet'!C26</f>
        <v>9862699011</v>
      </c>
      <c r="C510" s="24" t="s">
        <v>35</v>
      </c>
      <c r="D510" s="1" t="str">
        <f>'[1]Yearly sheet'!F26</f>
        <v>Unmarried</v>
      </c>
      <c r="F510"/>
    </row>
    <row r="511" spans="1:6" s="2" customFormat="1" x14ac:dyDescent="0.25">
      <c r="A511" s="51" t="s">
        <v>9</v>
      </c>
      <c r="B511" s="52"/>
      <c r="C511" s="51" t="s">
        <v>10</v>
      </c>
      <c r="D511" s="52"/>
      <c r="F511"/>
    </row>
    <row r="512" spans="1:6" s="2" customFormat="1" x14ac:dyDescent="0.25">
      <c r="A512" s="8" t="s">
        <v>11</v>
      </c>
      <c r="B512" s="26">
        <f>'[1]Yearly sheet'!J25</f>
        <v>96564</v>
      </c>
      <c r="C512" s="8" t="s">
        <v>12</v>
      </c>
      <c r="D512" s="26">
        <f>'[1]Yearly sheet'!AO26</f>
        <v>630884.80000000005</v>
      </c>
      <c r="F512"/>
    </row>
    <row r="513" spans="1:6" s="2" customFormat="1" x14ac:dyDescent="0.25">
      <c r="A513" s="8" t="s">
        <v>13</v>
      </c>
      <c r="B513" s="26">
        <f>'[1]Yearly sheet'!K26</f>
        <v>64376</v>
      </c>
      <c r="C513" s="8" t="s">
        <v>14</v>
      </c>
      <c r="D513" s="26">
        <f>'[1]Yearly sheet'!BB26</f>
        <v>104771.94</v>
      </c>
      <c r="F513"/>
    </row>
    <row r="514" spans="1:6" s="2" customFormat="1" x14ac:dyDescent="0.25">
      <c r="A514" s="8" t="s">
        <v>15</v>
      </c>
      <c r="B514" s="27">
        <f>B512+B513</f>
        <v>160940</v>
      </c>
      <c r="C514" s="8" t="s">
        <v>16</v>
      </c>
      <c r="D514" s="26">
        <f>'[1]Yearly sheet'!BZ26</f>
        <v>20479.030666666673</v>
      </c>
      <c r="F514"/>
    </row>
    <row r="515" spans="1:6" s="2" customFormat="1" x14ac:dyDescent="0.25">
      <c r="A515" s="3" t="s">
        <v>17</v>
      </c>
      <c r="B515" s="27">
        <v>400</v>
      </c>
      <c r="C515" s="3" t="s">
        <v>18</v>
      </c>
      <c r="D515" s="27">
        <f>D512-D513-D514</f>
        <v>505633.82933333341</v>
      </c>
      <c r="F515"/>
    </row>
    <row r="516" spans="1:6" s="2" customFormat="1" x14ac:dyDescent="0.25">
      <c r="A516" s="11" t="s">
        <v>19</v>
      </c>
      <c r="B516" s="26">
        <f>[1]May!G26</f>
        <v>19312.8</v>
      </c>
      <c r="C516" s="54" t="str">
        <f>C494</f>
        <v xml:space="preserve">*Here, "Annual" denotes the financial year from July 17, 2025 to May 31, 2026. </v>
      </c>
      <c r="D516" s="55"/>
      <c r="F516"/>
    </row>
    <row r="517" spans="1:6" s="2" customFormat="1" x14ac:dyDescent="0.25">
      <c r="A517" s="8" t="s">
        <v>21</v>
      </c>
      <c r="B517" s="26">
        <f>[1]May!F26</f>
        <v>0</v>
      </c>
      <c r="C517" s="56"/>
      <c r="D517" s="57"/>
      <c r="F517"/>
    </row>
    <row r="518" spans="1:6" s="2" customFormat="1" x14ac:dyDescent="0.25">
      <c r="A518" s="8" t="s">
        <v>22</v>
      </c>
      <c r="B518" s="27">
        <f>B515+B516+B517</f>
        <v>19712.8</v>
      </c>
      <c r="C518" s="56"/>
      <c r="D518" s="57"/>
      <c r="F518"/>
    </row>
    <row r="519" spans="1:6" s="2" customFormat="1" x14ac:dyDescent="0.25">
      <c r="A519" s="60" t="s">
        <v>23</v>
      </c>
      <c r="B519" s="52"/>
      <c r="C519" s="56"/>
      <c r="D519" s="57"/>
      <c r="F519"/>
    </row>
    <row r="520" spans="1:6" s="2" customFormat="1" x14ac:dyDescent="0.25">
      <c r="A520" s="11" t="s">
        <v>19</v>
      </c>
      <c r="B520" s="26">
        <f>B516</f>
        <v>19312.8</v>
      </c>
      <c r="C520" s="58"/>
      <c r="D520" s="59"/>
      <c r="F520"/>
    </row>
    <row r="521" spans="1:6" s="2" customFormat="1" x14ac:dyDescent="0.25">
      <c r="A521" s="11" t="s">
        <v>24</v>
      </c>
      <c r="B521" s="26">
        <f>[1]May!I26</f>
        <v>10622.04</v>
      </c>
      <c r="C521" s="51" t="s">
        <v>25</v>
      </c>
      <c r="D521" s="52"/>
      <c r="F521"/>
    </row>
    <row r="522" spans="1:6" s="2" customFormat="1" x14ac:dyDescent="0.25">
      <c r="A522" s="8" t="s">
        <v>26</v>
      </c>
      <c r="B522" s="26">
        <f>[1]May!T26</f>
        <v>5851.1502222222243</v>
      </c>
      <c r="C522" s="8" t="s">
        <v>27</v>
      </c>
      <c r="D522" s="12">
        <v>46143</v>
      </c>
      <c r="F522"/>
    </row>
    <row r="523" spans="1:6" s="2" customFormat="1" x14ac:dyDescent="0.25">
      <c r="A523" s="8" t="s">
        <v>28</v>
      </c>
      <c r="B523" s="27">
        <f>SUM(B520:B522)</f>
        <v>35785.990222222223</v>
      </c>
      <c r="C523" s="8" t="s">
        <v>29</v>
      </c>
      <c r="D523" s="13" t="s">
        <v>30</v>
      </c>
      <c r="F523"/>
    </row>
    <row r="524" spans="1:6" s="2" customFormat="1" x14ac:dyDescent="0.25">
      <c r="A524" s="14" t="s">
        <v>31</v>
      </c>
      <c r="B524" s="28">
        <f>B518-B523</f>
        <v>-16073.190222222223</v>
      </c>
      <c r="C524" s="16"/>
      <c r="D524" s="17"/>
      <c r="F524"/>
    </row>
    <row r="525" spans="1:6" s="41" customFormat="1" x14ac:dyDescent="0.25">
      <c r="A525" s="18"/>
      <c r="B525" s="38"/>
      <c r="C525" s="18"/>
      <c r="D525" s="20"/>
      <c r="F525"/>
    </row>
    <row r="526" spans="1:6" s="41" customFormat="1" x14ac:dyDescent="0.25">
      <c r="A526" s="18"/>
      <c r="B526" s="38"/>
      <c r="C526" s="18"/>
      <c r="D526" s="20"/>
      <c r="F526"/>
    </row>
    <row r="527" spans="1:6" s="2" customFormat="1" x14ac:dyDescent="0.25">
      <c r="A527" s="51" t="s">
        <v>0</v>
      </c>
      <c r="B527" s="52"/>
      <c r="C527" s="52"/>
      <c r="D527" s="52"/>
      <c r="F527"/>
    </row>
    <row r="528" spans="1:6" s="2" customFormat="1" x14ac:dyDescent="0.25">
      <c r="A528" s="21" t="s">
        <v>32</v>
      </c>
      <c r="B528" s="22" t="s">
        <v>62</v>
      </c>
      <c r="C528" s="21" t="s">
        <v>2</v>
      </c>
      <c r="D528" s="39">
        <f>'[1]Yearly sheet_Assumed'!G27</f>
        <v>3200501213718</v>
      </c>
      <c r="F528"/>
    </row>
    <row r="529" spans="1:6" s="2" customFormat="1" x14ac:dyDescent="0.25">
      <c r="A529" s="21" t="s">
        <v>1</v>
      </c>
      <c r="B529" s="4" t="str">
        <f>'[1]Yearly sheet_Assumed'!A27</f>
        <v>Joseph Rana</v>
      </c>
      <c r="C529" s="21" t="s">
        <v>5</v>
      </c>
      <c r="D529" s="40" t="str">
        <f>'[1]Yearly sheet_Assumed'!H27</f>
        <v>Everest Bank Ltd.</v>
      </c>
      <c r="F529"/>
    </row>
    <row r="530" spans="1:6" s="2" customFormat="1" x14ac:dyDescent="0.25">
      <c r="A530" s="21" t="s">
        <v>4</v>
      </c>
      <c r="B530" s="11" t="str">
        <f>'[1]Yearly sheet_Assumed'!D27</f>
        <v>Professional Software Developer</v>
      </c>
      <c r="C530" s="21" t="s">
        <v>7</v>
      </c>
      <c r="D530" s="40" t="str">
        <f>'[1]Yearly sheet_Assumed'!I27</f>
        <v>lagankhel</v>
      </c>
      <c r="F530"/>
    </row>
    <row r="531" spans="1:6" s="2" customFormat="1" x14ac:dyDescent="0.25">
      <c r="A531" s="21" t="s">
        <v>6</v>
      </c>
      <c r="B531" s="4">
        <f>'[1]Yearly sheet'!E27</f>
        <v>143433361</v>
      </c>
      <c r="C531" s="53"/>
      <c r="D531" s="53"/>
      <c r="F531"/>
    </row>
    <row r="532" spans="1:6" s="2" customFormat="1" x14ac:dyDescent="0.25">
      <c r="A532" s="21" t="s">
        <v>8</v>
      </c>
      <c r="B532" s="4">
        <f>'[1]Yearly sheet'!C47</f>
        <v>0</v>
      </c>
      <c r="C532" s="24" t="s">
        <v>35</v>
      </c>
      <c r="D532" s="1" t="str">
        <f>'[1]Yearly sheet_Assumed'!F27</f>
        <v>Unmarried</v>
      </c>
      <c r="F532"/>
    </row>
    <row r="533" spans="1:6" s="2" customFormat="1" x14ac:dyDescent="0.25">
      <c r="A533" s="51" t="s">
        <v>9</v>
      </c>
      <c r="B533" s="52"/>
      <c r="C533" s="51" t="s">
        <v>10</v>
      </c>
      <c r="D533" s="52"/>
      <c r="F533"/>
    </row>
    <row r="534" spans="1:6" s="2" customFormat="1" x14ac:dyDescent="0.25">
      <c r="A534" s="8" t="s">
        <v>11</v>
      </c>
      <c r="B534" s="26">
        <f>'[1]Yearly sheet'!J27</f>
        <v>64584</v>
      </c>
      <c r="C534" s="8" t="s">
        <v>12</v>
      </c>
      <c r="D534" s="26">
        <f>'[1]Yearly sheet'!AO27</f>
        <v>169875.49090909094</v>
      </c>
      <c r="F534"/>
    </row>
    <row r="535" spans="1:6" s="2" customFormat="1" x14ac:dyDescent="0.25">
      <c r="A535" s="8" t="s">
        <v>13</v>
      </c>
      <c r="B535" s="26">
        <f>'[1]Yearly sheet'!K27</f>
        <v>43056</v>
      </c>
      <c r="C535" s="8" t="s">
        <v>14</v>
      </c>
      <c r="D535" s="26">
        <f>'[1]Yearly sheet'!BB27</f>
        <v>28211.465454545454</v>
      </c>
      <c r="F535"/>
    </row>
    <row r="536" spans="1:6" s="2" customFormat="1" x14ac:dyDescent="0.25">
      <c r="A536" s="8" t="s">
        <v>15</v>
      </c>
      <c r="B536" s="27">
        <f>B534+B535</f>
        <v>107640</v>
      </c>
      <c r="C536" s="8" t="s">
        <v>16</v>
      </c>
      <c r="D536" s="26">
        <f>'[1]Yearly sheet'!BZ27</f>
        <v>0</v>
      </c>
      <c r="F536"/>
    </row>
    <row r="537" spans="1:6" s="2" customFormat="1" x14ac:dyDescent="0.25">
      <c r="A537" s="3" t="s">
        <v>17</v>
      </c>
      <c r="B537" s="27">
        <v>400</v>
      </c>
      <c r="C537" s="3" t="s">
        <v>18</v>
      </c>
      <c r="D537" s="27">
        <f>D534-D535-D536</f>
        <v>141664.02545454548</v>
      </c>
      <c r="F537"/>
    </row>
    <row r="538" spans="1:6" s="2" customFormat="1" x14ac:dyDescent="0.25">
      <c r="A538" s="11" t="s">
        <v>19</v>
      </c>
      <c r="B538" s="26">
        <f>[1]May!G27</f>
        <v>12916.800000000001</v>
      </c>
      <c r="C538" s="54" t="str">
        <f>C516</f>
        <v xml:space="preserve">*Here, "Annual" denotes the financial year from July 17, 2025 to May 31, 2026. </v>
      </c>
      <c r="D538" s="55"/>
      <c r="F538"/>
    </row>
    <row r="539" spans="1:6" s="2" customFormat="1" x14ac:dyDescent="0.25">
      <c r="A539" s="8" t="s">
        <v>21</v>
      </c>
      <c r="B539" s="26">
        <f>[1]May!F27</f>
        <v>0</v>
      </c>
      <c r="C539" s="56"/>
      <c r="D539" s="57"/>
      <c r="F539"/>
    </row>
    <row r="540" spans="1:6" s="2" customFormat="1" x14ac:dyDescent="0.25">
      <c r="A540" s="8" t="s">
        <v>22</v>
      </c>
      <c r="B540" s="27">
        <f>B537+B538+B539</f>
        <v>13316.800000000001</v>
      </c>
      <c r="C540" s="56"/>
      <c r="D540" s="57"/>
      <c r="F540"/>
    </row>
    <row r="541" spans="1:6" s="2" customFormat="1" x14ac:dyDescent="0.25">
      <c r="A541" s="60" t="s">
        <v>23</v>
      </c>
      <c r="B541" s="52"/>
      <c r="C541" s="56"/>
      <c r="D541" s="57"/>
      <c r="F541"/>
    </row>
    <row r="542" spans="1:6" s="2" customFormat="1" x14ac:dyDescent="0.25">
      <c r="A542" s="11" t="s">
        <v>19</v>
      </c>
      <c r="B542" s="26">
        <f>B538</f>
        <v>12916.800000000001</v>
      </c>
      <c r="C542" s="58"/>
      <c r="D542" s="59"/>
      <c r="F542"/>
    </row>
    <row r="543" spans="1:6" s="2" customFormat="1" x14ac:dyDescent="0.25">
      <c r="A543" s="11" t="s">
        <v>24</v>
      </c>
      <c r="B543" s="26">
        <f>[1]May!I27</f>
        <v>7104.24</v>
      </c>
      <c r="C543" s="51" t="s">
        <v>25</v>
      </c>
      <c r="D543" s="52"/>
      <c r="F543"/>
    </row>
    <row r="544" spans="1:6" s="2" customFormat="1" x14ac:dyDescent="0.25">
      <c r="A544" s="8" t="s">
        <v>26</v>
      </c>
      <c r="B544" s="26">
        <f>[1]May!T27</f>
        <v>0</v>
      </c>
      <c r="C544" s="8" t="s">
        <v>27</v>
      </c>
      <c r="D544" s="12">
        <v>46143</v>
      </c>
      <c r="F544"/>
    </row>
    <row r="545" spans="1:6" s="2" customFormat="1" x14ac:dyDescent="0.25">
      <c r="A545" s="8" t="s">
        <v>28</v>
      </c>
      <c r="B545" s="27">
        <f>SUM(B542:B544)</f>
        <v>20021.04</v>
      </c>
      <c r="C545" s="8" t="s">
        <v>29</v>
      </c>
      <c r="D545" s="13" t="s">
        <v>30</v>
      </c>
      <c r="F545"/>
    </row>
    <row r="546" spans="1:6" s="2" customFormat="1" x14ac:dyDescent="0.25">
      <c r="A546" s="14" t="s">
        <v>31</v>
      </c>
      <c r="B546" s="28">
        <f>B540-B545</f>
        <v>-6704.24</v>
      </c>
      <c r="C546" s="16"/>
      <c r="D546" s="17"/>
      <c r="F546"/>
    </row>
    <row r="547" spans="1:6" s="2" customFormat="1" x14ac:dyDescent="0.25">
      <c r="A547" s="25"/>
      <c r="B547" s="25"/>
      <c r="C547" s="25"/>
      <c r="D547" s="25"/>
      <c r="F547"/>
    </row>
    <row r="548" spans="1:6" s="2" customFormat="1" x14ac:dyDescent="0.25">
      <c r="A548" s="25"/>
      <c r="B548" s="25"/>
      <c r="C548" s="25"/>
      <c r="D548" s="25"/>
      <c r="F548"/>
    </row>
    <row r="549" spans="1:6" s="2" customFormat="1" x14ac:dyDescent="0.25">
      <c r="A549" s="63" t="s">
        <v>0</v>
      </c>
      <c r="B549" s="64"/>
      <c r="C549" s="64"/>
      <c r="D549" s="65"/>
      <c r="F549"/>
    </row>
    <row r="550" spans="1:6" s="2" customFormat="1" x14ac:dyDescent="0.25">
      <c r="A550" s="21" t="s">
        <v>32</v>
      </c>
      <c r="B550" s="22" t="s">
        <v>63</v>
      </c>
      <c r="C550" s="21" t="s">
        <v>2</v>
      </c>
      <c r="D550" s="33" t="s">
        <v>64</v>
      </c>
      <c r="F550"/>
    </row>
    <row r="551" spans="1:6" s="2" customFormat="1" x14ac:dyDescent="0.25">
      <c r="A551" s="21" t="s">
        <v>1</v>
      </c>
      <c r="B551" s="4" t="str">
        <f>'[1]Yearly sheet'!A29</f>
        <v>Amriteshwor Lal Mulepaty</v>
      </c>
      <c r="C551" s="21" t="s">
        <v>5</v>
      </c>
      <c r="D551" s="4" t="str">
        <f>'[1]Yearly sheet'!H29</f>
        <v>Everest Bank Ltd.</v>
      </c>
      <c r="F551"/>
    </row>
    <row r="552" spans="1:6" s="2" customFormat="1" x14ac:dyDescent="0.25">
      <c r="A552" s="21" t="s">
        <v>4</v>
      </c>
      <c r="B552" s="11" t="str">
        <f>'[1]Yearly sheet'!D29</f>
        <v>HR Manager</v>
      </c>
      <c r="C552" s="21" t="s">
        <v>7</v>
      </c>
      <c r="D552" s="4" t="str">
        <f>'[1]Yearly sheet'!I29</f>
        <v>Thamel</v>
      </c>
      <c r="F552"/>
    </row>
    <row r="553" spans="1:6" s="2" customFormat="1" x14ac:dyDescent="0.25">
      <c r="A553" s="21" t="s">
        <v>6</v>
      </c>
      <c r="B553" s="4">
        <f>'[1]Yearly sheet'!E29</f>
        <v>110905471</v>
      </c>
      <c r="C553" s="66"/>
      <c r="D553" s="67"/>
      <c r="F553"/>
    </row>
    <row r="554" spans="1:6" s="2" customFormat="1" x14ac:dyDescent="0.25">
      <c r="A554" s="21" t="s">
        <v>8</v>
      </c>
      <c r="B554" s="4">
        <f>'[1]Yearly sheet'!C29</f>
        <v>9841820270</v>
      </c>
      <c r="C554" s="24" t="s">
        <v>35</v>
      </c>
      <c r="D554" s="1" t="str">
        <f>'[1]Yearly sheet'!F29</f>
        <v>Married</v>
      </c>
      <c r="F554"/>
    </row>
    <row r="555" spans="1:6" s="2" customFormat="1" x14ac:dyDescent="0.25">
      <c r="A555" s="61" t="s">
        <v>9</v>
      </c>
      <c r="B555" s="62"/>
      <c r="C555" s="61" t="s">
        <v>10</v>
      </c>
      <c r="D555" s="62"/>
      <c r="F555"/>
    </row>
    <row r="556" spans="1:6" s="2" customFormat="1" x14ac:dyDescent="0.25">
      <c r="A556" s="8" t="s">
        <v>11</v>
      </c>
      <c r="B556" s="26">
        <f>'[1]Yearly sheet'!J29</f>
        <v>98100</v>
      </c>
      <c r="C556" s="8" t="s">
        <v>12</v>
      </c>
      <c r="D556" s="26">
        <f>'[1]Yearly sheet'!AO29</f>
        <v>1264161.6959999998</v>
      </c>
      <c r="F556"/>
    </row>
    <row r="557" spans="1:6" s="2" customFormat="1" x14ac:dyDescent="0.25">
      <c r="A557" s="8" t="s">
        <v>13</v>
      </c>
      <c r="B557" s="26">
        <f>'[1]Yearly sheet'!K29</f>
        <v>65400</v>
      </c>
      <c r="C557" s="8" t="s">
        <v>14</v>
      </c>
      <c r="D557" s="26">
        <f>'[1]Yearly sheet'!BB29</f>
        <v>194979.76379999996</v>
      </c>
      <c r="F557"/>
    </row>
    <row r="558" spans="1:6" s="2" customFormat="1" x14ac:dyDescent="0.25">
      <c r="A558" s="8" t="s">
        <v>15</v>
      </c>
      <c r="B558" s="27">
        <f>B556+B557</f>
        <v>163500</v>
      </c>
      <c r="C558" s="8" t="s">
        <v>16</v>
      </c>
      <c r="D558" s="26">
        <f>'[1]Yearly sheet'!BZ29</f>
        <v>99523.232087617187</v>
      </c>
      <c r="F558"/>
    </row>
    <row r="559" spans="1:6" s="2" customFormat="1" x14ac:dyDescent="0.25">
      <c r="A559" s="42" t="s">
        <v>17</v>
      </c>
      <c r="B559" s="27">
        <v>400</v>
      </c>
      <c r="C559" s="3" t="s">
        <v>18</v>
      </c>
      <c r="D559" s="27">
        <f>D556-D557-D558</f>
        <v>969658.70011238253</v>
      </c>
      <c r="F559"/>
    </row>
    <row r="560" spans="1:6" s="2" customFormat="1" ht="15" customHeight="1" x14ac:dyDescent="0.25">
      <c r="A560" s="11" t="s">
        <v>19</v>
      </c>
      <c r="B560" s="26">
        <f>[1]May!G29</f>
        <v>19620</v>
      </c>
      <c r="C560" s="54" t="e">
        <f>#REF!</f>
        <v>#REF!</v>
      </c>
      <c r="D560" s="55"/>
      <c r="F560"/>
    </row>
    <row r="561" spans="1:6" s="2" customFormat="1" x14ac:dyDescent="0.25">
      <c r="A561" s="8" t="s">
        <v>21</v>
      </c>
      <c r="B561" s="26">
        <f>[1]May!F29</f>
        <v>0</v>
      </c>
      <c r="C561" s="56"/>
      <c r="D561" s="57"/>
      <c r="F561"/>
    </row>
    <row r="562" spans="1:6" s="2" customFormat="1" x14ac:dyDescent="0.25">
      <c r="A562" s="8" t="s">
        <v>22</v>
      </c>
      <c r="B562" s="27">
        <f>B559+B560+B561</f>
        <v>20020</v>
      </c>
      <c r="C562" s="56"/>
      <c r="D562" s="57"/>
      <c r="F562"/>
    </row>
    <row r="563" spans="1:6" s="2" customFormat="1" x14ac:dyDescent="0.25">
      <c r="A563" s="68" t="s">
        <v>23</v>
      </c>
      <c r="B563" s="69"/>
      <c r="C563" s="56"/>
      <c r="D563" s="57"/>
      <c r="F563"/>
    </row>
    <row r="564" spans="1:6" s="2" customFormat="1" x14ac:dyDescent="0.25">
      <c r="A564" s="11" t="s">
        <v>19</v>
      </c>
      <c r="B564" s="26">
        <f>B560</f>
        <v>19620</v>
      </c>
      <c r="C564" s="58"/>
      <c r="D564" s="59"/>
      <c r="F564"/>
    </row>
    <row r="565" spans="1:6" s="2" customFormat="1" x14ac:dyDescent="0.25">
      <c r="A565" s="11" t="s">
        <v>24</v>
      </c>
      <c r="B565" s="26">
        <f>[1]May!I29</f>
        <v>10791</v>
      </c>
      <c r="C565" s="61" t="s">
        <v>25</v>
      </c>
      <c r="D565" s="62"/>
      <c r="F565"/>
    </row>
    <row r="566" spans="1:6" s="2" customFormat="1" x14ac:dyDescent="0.25">
      <c r="A566" s="8" t="s">
        <v>26</v>
      </c>
      <c r="B566" s="26">
        <f>[1]May!T29</f>
        <v>25554.49838158847</v>
      </c>
      <c r="C566" s="8" t="s">
        <v>27</v>
      </c>
      <c r="D566" s="12">
        <v>46143</v>
      </c>
      <c r="F566"/>
    </row>
    <row r="567" spans="1:6" s="2" customFormat="1" x14ac:dyDescent="0.25">
      <c r="A567" s="8" t="s">
        <v>28</v>
      </c>
      <c r="B567" s="27">
        <f>SUM(B564:B566)</f>
        <v>55965.49838158847</v>
      </c>
      <c r="C567" s="8" t="s">
        <v>29</v>
      </c>
      <c r="D567" s="13" t="s">
        <v>30</v>
      </c>
      <c r="F567"/>
    </row>
    <row r="568" spans="1:6" s="2" customFormat="1" x14ac:dyDescent="0.25">
      <c r="A568" s="14" t="s">
        <v>31</v>
      </c>
      <c r="B568" s="28">
        <f>B562-B567</f>
        <v>-35945.49838158847</v>
      </c>
      <c r="C568" s="16"/>
      <c r="D568" s="17"/>
      <c r="F568"/>
    </row>
    <row r="569" spans="1:6" s="2" customFormat="1" x14ac:dyDescent="0.25">
      <c r="A569" s="25"/>
      <c r="B569" s="25"/>
      <c r="C569" s="25"/>
      <c r="D569" s="25"/>
      <c r="F569"/>
    </row>
    <row r="570" spans="1:6" s="2" customFormat="1" x14ac:dyDescent="0.25">
      <c r="A570" s="25"/>
      <c r="B570" s="25"/>
      <c r="C570" s="25"/>
      <c r="D570" s="25"/>
      <c r="F570"/>
    </row>
    <row r="571" spans="1:6" s="2" customFormat="1" hidden="1" x14ac:dyDescent="0.25">
      <c r="A571" s="51" t="s">
        <v>0</v>
      </c>
      <c r="B571" s="52"/>
      <c r="C571" s="52"/>
      <c r="D571" s="52"/>
      <c r="F571"/>
    </row>
    <row r="572" spans="1:6" s="2" customFormat="1" hidden="1" x14ac:dyDescent="0.25">
      <c r="A572" s="21" t="s">
        <v>32</v>
      </c>
      <c r="B572" s="22" t="s">
        <v>65</v>
      </c>
      <c r="C572" s="21" t="s">
        <v>2</v>
      </c>
      <c r="D572" s="34" t="s">
        <v>66</v>
      </c>
      <c r="F572"/>
    </row>
    <row r="573" spans="1:6" s="2" customFormat="1" hidden="1" x14ac:dyDescent="0.25">
      <c r="A573" s="21" t="s">
        <v>1</v>
      </c>
      <c r="B573" s="4" t="str">
        <f>'[1]Yearly sheet_Assumed'!A30</f>
        <v>Princy Jaiswal</v>
      </c>
      <c r="C573" s="21" t="s">
        <v>5</v>
      </c>
      <c r="D573" s="4" t="str">
        <f>'[1]Yearly sheet_Assumed'!H30</f>
        <v>Everest Bank Ltd.</v>
      </c>
      <c r="F573"/>
    </row>
    <row r="574" spans="1:6" s="2" customFormat="1" hidden="1" x14ac:dyDescent="0.25">
      <c r="A574" s="21" t="s">
        <v>4</v>
      </c>
      <c r="B574" s="11" t="str">
        <f>'[1]Yearly sheet_Assumed'!D30</f>
        <v>Admin Assistant</v>
      </c>
      <c r="C574" s="21" t="s">
        <v>7</v>
      </c>
      <c r="D574" s="4" t="str">
        <f>'[1]Yearly sheet_Assumed'!I30</f>
        <v>Gairidhara</v>
      </c>
      <c r="F574"/>
    </row>
    <row r="575" spans="1:6" s="2" customFormat="1" hidden="1" x14ac:dyDescent="0.25">
      <c r="A575" s="21" t="s">
        <v>6</v>
      </c>
      <c r="B575" s="4">
        <f>'[1]Yearly sheet_Assumed'!E30</f>
        <v>132028468</v>
      </c>
      <c r="C575" s="53"/>
      <c r="D575" s="53"/>
      <c r="F575"/>
    </row>
    <row r="576" spans="1:6" s="2" customFormat="1" hidden="1" x14ac:dyDescent="0.25">
      <c r="A576" s="21" t="s">
        <v>8</v>
      </c>
      <c r="B576" s="4">
        <f>'[1]Yearly sheet_Assumed'!C30</f>
        <v>9804826201</v>
      </c>
      <c r="C576" s="24" t="s">
        <v>35</v>
      </c>
      <c r="D576" s="1" t="str">
        <f>'[1]Yearly sheet_Assumed'!F30</f>
        <v>Unmarried</v>
      </c>
      <c r="F576"/>
    </row>
    <row r="577" spans="1:6" s="2" customFormat="1" hidden="1" x14ac:dyDescent="0.25">
      <c r="A577" s="51" t="s">
        <v>9</v>
      </c>
      <c r="B577" s="52"/>
      <c r="C577" s="51" t="s">
        <v>10</v>
      </c>
      <c r="D577" s="52"/>
      <c r="F577"/>
    </row>
    <row r="578" spans="1:6" s="2" customFormat="1" hidden="1" x14ac:dyDescent="0.25">
      <c r="A578" s="8" t="s">
        <v>11</v>
      </c>
      <c r="B578" s="26">
        <f>'[1]Yearly sheet_Assumed'!J30</f>
        <v>15299.6</v>
      </c>
      <c r="C578" s="8" t="s">
        <v>12</v>
      </c>
      <c r="D578" s="26">
        <f>'[1]Yearly sheet'!AO30</f>
        <v>134882.24000000002</v>
      </c>
      <c r="F578"/>
    </row>
    <row r="579" spans="1:6" s="2" customFormat="1" hidden="1" x14ac:dyDescent="0.25">
      <c r="A579" s="8" t="s">
        <v>13</v>
      </c>
      <c r="B579" s="26">
        <f>'[1]Yearly sheet_Assumed'!K30</f>
        <v>10244.08</v>
      </c>
      <c r="C579" s="8" t="s">
        <v>14</v>
      </c>
      <c r="D579" s="26">
        <f>'[1]Yearly sheet'!BB30</f>
        <v>14228.628000000001</v>
      </c>
      <c r="F579"/>
    </row>
    <row r="580" spans="1:6" s="2" customFormat="1" hidden="1" x14ac:dyDescent="0.25">
      <c r="A580" s="8" t="s">
        <v>15</v>
      </c>
      <c r="B580" s="27">
        <f>B578+B579</f>
        <v>25543.68</v>
      </c>
      <c r="C580" s="8" t="s">
        <v>16</v>
      </c>
      <c r="D580" s="26">
        <f>'[1]Yearly sheet'!BZ30</f>
        <v>0</v>
      </c>
      <c r="F580"/>
    </row>
    <row r="581" spans="1:6" s="2" customFormat="1" hidden="1" x14ac:dyDescent="0.25">
      <c r="A581" s="42" t="s">
        <v>17</v>
      </c>
      <c r="B581" s="27">
        <f>[1]Nov!E23</f>
        <v>0</v>
      </c>
      <c r="C581" s="3" t="s">
        <v>18</v>
      </c>
      <c r="D581" s="27">
        <f>D578-D579-D580</f>
        <v>120653.61200000002</v>
      </c>
      <c r="F581"/>
    </row>
    <row r="582" spans="1:6" s="2" customFormat="1" ht="14.45" hidden="1" customHeight="1" x14ac:dyDescent="0.25">
      <c r="A582" s="11" t="s">
        <v>19</v>
      </c>
      <c r="B582" s="26">
        <f>[1]Nov!G23</f>
        <v>0</v>
      </c>
      <c r="C582" s="54" t="s">
        <v>67</v>
      </c>
      <c r="D582" s="55"/>
      <c r="F582"/>
    </row>
    <row r="583" spans="1:6" s="2" customFormat="1" hidden="1" x14ac:dyDescent="0.25">
      <c r="A583" s="8" t="s">
        <v>21</v>
      </c>
      <c r="B583" s="26">
        <f>[1]Nov!F23</f>
        <v>0</v>
      </c>
      <c r="C583" s="56"/>
      <c r="D583" s="57"/>
      <c r="F583"/>
    </row>
    <row r="584" spans="1:6" s="2" customFormat="1" hidden="1" x14ac:dyDescent="0.25">
      <c r="A584" s="8" t="s">
        <v>22</v>
      </c>
      <c r="B584" s="27">
        <f>B581+B582+B583</f>
        <v>0</v>
      </c>
      <c r="C584" s="56"/>
      <c r="D584" s="57"/>
      <c r="F584"/>
    </row>
    <row r="585" spans="1:6" s="2" customFormat="1" hidden="1" x14ac:dyDescent="0.25">
      <c r="A585" s="60" t="s">
        <v>23</v>
      </c>
      <c r="B585" s="52"/>
      <c r="C585" s="56"/>
      <c r="D585" s="57"/>
      <c r="F585"/>
    </row>
    <row r="586" spans="1:6" s="2" customFormat="1" hidden="1" x14ac:dyDescent="0.25">
      <c r="A586" s="11" t="s">
        <v>19</v>
      </c>
      <c r="B586" s="26">
        <f>B582</f>
        <v>0</v>
      </c>
      <c r="C586" s="58"/>
      <c r="D586" s="59"/>
      <c r="F586"/>
    </row>
    <row r="587" spans="1:6" s="2" customFormat="1" hidden="1" x14ac:dyDescent="0.25">
      <c r="A587" s="11" t="s">
        <v>24</v>
      </c>
      <c r="B587" s="26">
        <f>[1]Nov!I23</f>
        <v>0</v>
      </c>
      <c r="C587" s="51" t="s">
        <v>25</v>
      </c>
      <c r="D587" s="52"/>
      <c r="F587"/>
    </row>
    <row r="588" spans="1:6" s="2" customFormat="1" hidden="1" x14ac:dyDescent="0.25">
      <c r="A588" s="8" t="s">
        <v>26</v>
      </c>
      <c r="B588" s="26">
        <f>[1]Sep!T22</f>
        <v>0</v>
      </c>
      <c r="C588" s="8" t="s">
        <v>27</v>
      </c>
      <c r="D588" s="36" t="s">
        <v>68</v>
      </c>
      <c r="F588"/>
    </row>
    <row r="589" spans="1:6" s="2" customFormat="1" hidden="1" x14ac:dyDescent="0.25">
      <c r="A589" s="8" t="s">
        <v>28</v>
      </c>
      <c r="B589" s="27">
        <f>SUM(B586:B588)</f>
        <v>0</v>
      </c>
      <c r="C589" s="8" t="s">
        <v>29</v>
      </c>
      <c r="D589" s="13" t="s">
        <v>30</v>
      </c>
      <c r="F589"/>
    </row>
    <row r="590" spans="1:6" s="2" customFormat="1" hidden="1" x14ac:dyDescent="0.25">
      <c r="A590" s="14" t="s">
        <v>31</v>
      </c>
      <c r="B590" s="28">
        <f>B584-B589</f>
        <v>0</v>
      </c>
      <c r="C590" s="16"/>
      <c r="D590" s="17"/>
      <c r="F590"/>
    </row>
    <row r="591" spans="1:6" s="2" customFormat="1" hidden="1" x14ac:dyDescent="0.25">
      <c r="A591" s="25"/>
      <c r="B591" s="25"/>
      <c r="C591" s="25"/>
      <c r="D591" s="25"/>
      <c r="F591"/>
    </row>
    <row r="592" spans="1:6" s="2" customFormat="1" x14ac:dyDescent="0.25">
      <c r="A592" s="51" t="s">
        <v>69</v>
      </c>
      <c r="B592" s="52"/>
      <c r="C592" s="52"/>
      <c r="D592" s="52"/>
      <c r="F592"/>
    </row>
    <row r="593" spans="1:6" s="2" customFormat="1" x14ac:dyDescent="0.25">
      <c r="A593" s="21" t="s">
        <v>32</v>
      </c>
      <c r="B593" s="22" t="str">
        <f>'[1]Yearly sheet'!B31</f>
        <v>28</v>
      </c>
      <c r="C593" s="21" t="s">
        <v>2</v>
      </c>
      <c r="D593" s="5" t="s">
        <v>70</v>
      </c>
      <c r="F593"/>
    </row>
    <row r="594" spans="1:6" s="2" customFormat="1" x14ac:dyDescent="0.25">
      <c r="A594" s="21" t="s">
        <v>1</v>
      </c>
      <c r="B594" s="4" t="str">
        <f>'[1]Yearly sheet'!A31</f>
        <v>Aditya Kumar Gupta</v>
      </c>
      <c r="C594" s="21" t="s">
        <v>5</v>
      </c>
      <c r="D594" s="4" t="str">
        <f>'[1]Yearly sheet'!H31</f>
        <v>Everest Bank Ltd.</v>
      </c>
      <c r="F594"/>
    </row>
    <row r="595" spans="1:6" s="2" customFormat="1" x14ac:dyDescent="0.25">
      <c r="A595" s="21" t="s">
        <v>4</v>
      </c>
      <c r="B595" s="11" t="s">
        <v>71</v>
      </c>
      <c r="C595" s="21" t="s">
        <v>7</v>
      </c>
      <c r="D595" s="4" t="s">
        <v>72</v>
      </c>
      <c r="F595"/>
    </row>
    <row r="596" spans="1:6" s="2" customFormat="1" x14ac:dyDescent="0.25">
      <c r="A596" s="21" t="s">
        <v>6</v>
      </c>
      <c r="B596" s="4">
        <f>'[1]Yearly sheet'!E31</f>
        <v>153156913</v>
      </c>
      <c r="C596" s="53"/>
      <c r="D596" s="53"/>
      <c r="F596"/>
    </row>
    <row r="597" spans="1:6" s="2" customFormat="1" x14ac:dyDescent="0.25">
      <c r="A597" s="21" t="s">
        <v>8</v>
      </c>
      <c r="B597" s="4">
        <f>'[1]Yearly sheet'!C31</f>
        <v>9709053002</v>
      </c>
      <c r="C597" s="24" t="s">
        <v>35</v>
      </c>
      <c r="D597" s="1" t="str">
        <f>'[1]Yearly sheet'!F31</f>
        <v>Unmarried</v>
      </c>
      <c r="F597"/>
    </row>
    <row r="598" spans="1:6" s="2" customFormat="1" x14ac:dyDescent="0.25">
      <c r="A598" s="51" t="s">
        <v>9</v>
      </c>
      <c r="B598" s="52"/>
      <c r="C598" s="51" t="s">
        <v>10</v>
      </c>
      <c r="D598" s="52"/>
      <c r="F598"/>
    </row>
    <row r="599" spans="1:6" s="2" customFormat="1" x14ac:dyDescent="0.25">
      <c r="A599" s="8" t="s">
        <v>11</v>
      </c>
      <c r="B599" s="26">
        <f>'[1]Yearly sheet'!J31</f>
        <v>20481.407999999999</v>
      </c>
      <c r="C599" s="8" t="s">
        <v>12</v>
      </c>
      <c r="D599" s="26">
        <f>'[1]Yearly sheet'!AO31</f>
        <v>392386.88800000004</v>
      </c>
      <c r="F599"/>
    </row>
    <row r="600" spans="1:6" s="2" customFormat="1" x14ac:dyDescent="0.25">
      <c r="A600" s="8" t="s">
        <v>13</v>
      </c>
      <c r="B600" s="26">
        <f>'[1]Yearly sheet'!K31</f>
        <v>13654.271999999999</v>
      </c>
      <c r="C600" s="8" t="s">
        <v>14</v>
      </c>
      <c r="D600" s="26">
        <f>'[1]Yearly sheet'!BB31</f>
        <v>52061.598400000003</v>
      </c>
      <c r="F600"/>
    </row>
    <row r="601" spans="1:6" s="2" customFormat="1" x14ac:dyDescent="0.25">
      <c r="A601" s="8" t="s">
        <v>15</v>
      </c>
      <c r="B601" s="27">
        <f>B599+B600</f>
        <v>34135.68</v>
      </c>
      <c r="C601" s="8" t="s">
        <v>16</v>
      </c>
      <c r="D601" s="26">
        <f>'[1]Yearly sheet'!BZ31</f>
        <v>0</v>
      </c>
      <c r="F601"/>
    </row>
    <row r="602" spans="1:6" s="2" customFormat="1" x14ac:dyDescent="0.25">
      <c r="A602" s="42" t="s">
        <v>17</v>
      </c>
      <c r="B602" s="27">
        <v>400</v>
      </c>
      <c r="C602" s="3" t="s">
        <v>18</v>
      </c>
      <c r="D602" s="27">
        <f>D599-D600-D601</f>
        <v>340325.28960000002</v>
      </c>
      <c r="F602"/>
    </row>
    <row r="603" spans="1:6" s="2" customFormat="1" ht="15" customHeight="1" x14ac:dyDescent="0.25">
      <c r="A603" s="11" t="s">
        <v>19</v>
      </c>
      <c r="B603" s="26">
        <f>[1]May!G31</f>
        <v>4096.2816000000003</v>
      </c>
      <c r="C603" s="54" t="e">
        <f>C560</f>
        <v>#REF!</v>
      </c>
      <c r="D603" s="55"/>
      <c r="F603"/>
    </row>
    <row r="604" spans="1:6" s="2" customFormat="1" x14ac:dyDescent="0.25">
      <c r="A604" s="8" t="s">
        <v>21</v>
      </c>
      <c r="B604" s="26">
        <f>[1]May!F31</f>
        <v>18200</v>
      </c>
      <c r="C604" s="56"/>
      <c r="D604" s="57"/>
      <c r="F604"/>
    </row>
    <row r="605" spans="1:6" s="2" customFormat="1" x14ac:dyDescent="0.25">
      <c r="A605" s="8" t="s">
        <v>22</v>
      </c>
      <c r="B605" s="27">
        <f>B602+B603+B604</f>
        <v>22696.281600000002</v>
      </c>
      <c r="C605" s="56"/>
      <c r="D605" s="57"/>
      <c r="F605"/>
    </row>
    <row r="606" spans="1:6" s="2" customFormat="1" x14ac:dyDescent="0.25">
      <c r="A606" s="60" t="s">
        <v>23</v>
      </c>
      <c r="B606" s="52"/>
      <c r="C606" s="56"/>
      <c r="D606" s="57"/>
      <c r="F606"/>
    </row>
    <row r="607" spans="1:6" s="2" customFormat="1" x14ac:dyDescent="0.25">
      <c r="A607" s="11" t="s">
        <v>19</v>
      </c>
      <c r="B607" s="26">
        <f>B603</f>
        <v>4096.2816000000003</v>
      </c>
      <c r="C607" s="58"/>
      <c r="D607" s="59"/>
      <c r="F607"/>
    </row>
    <row r="608" spans="1:6" s="2" customFormat="1" x14ac:dyDescent="0.25">
      <c r="A608" s="11" t="s">
        <v>24</v>
      </c>
      <c r="B608" s="26">
        <f>[1]May!I31</f>
        <v>2252.9548799999998</v>
      </c>
      <c r="C608" s="51" t="s">
        <v>25</v>
      </c>
      <c r="D608" s="52"/>
      <c r="F608"/>
    </row>
    <row r="609" spans="1:6" s="2" customFormat="1" x14ac:dyDescent="0.25">
      <c r="A609" s="8" t="s">
        <v>26</v>
      </c>
      <c r="B609" s="26">
        <f>[1]May!T31</f>
        <v>0</v>
      </c>
      <c r="C609" s="8" t="s">
        <v>27</v>
      </c>
      <c r="D609" s="12">
        <v>46143</v>
      </c>
      <c r="F609"/>
    </row>
    <row r="610" spans="1:6" s="2" customFormat="1" x14ac:dyDescent="0.25">
      <c r="A610" s="8" t="s">
        <v>28</v>
      </c>
      <c r="B610" s="27">
        <f>SUM(B607:B609)</f>
        <v>6349.2364799999996</v>
      </c>
      <c r="C610" s="8" t="s">
        <v>29</v>
      </c>
      <c r="D610" s="13" t="s">
        <v>30</v>
      </c>
      <c r="F610"/>
    </row>
    <row r="611" spans="1:6" s="2" customFormat="1" x14ac:dyDescent="0.25">
      <c r="A611" s="14" t="s">
        <v>31</v>
      </c>
      <c r="B611" s="28">
        <f>B605-B610</f>
        <v>16347.045120000002</v>
      </c>
      <c r="C611" s="16"/>
      <c r="D611" s="17"/>
      <c r="F611"/>
    </row>
    <row r="614" spans="1:6" x14ac:dyDescent="0.25">
      <c r="C614" s="43" t="s">
        <v>73</v>
      </c>
      <c r="D614" s="44" t="s">
        <v>74</v>
      </c>
      <c r="E614" s="45" t="s">
        <v>75</v>
      </c>
      <c r="F614" s="43" t="s">
        <v>76</v>
      </c>
    </row>
    <row r="615" spans="1:6" x14ac:dyDescent="0.25">
      <c r="C615" s="43"/>
      <c r="D615" s="31"/>
      <c r="E615" s="45"/>
      <c r="F615" s="43"/>
    </row>
    <row r="616" spans="1:6" x14ac:dyDescent="0.25">
      <c r="A616" s="46" t="s">
        <v>77</v>
      </c>
      <c r="B616" s="31" t="e">
        <f>B19+B41+B62+B84+B106+B128+B150+B172+B194+B216+B260+B282+B304+B326+B348+B370+B392+B414+B436+#REF!+B568+B611+B524+B502+B480+B458+B546</f>
        <v>#REF!</v>
      </c>
      <c r="C616" s="47" t="s">
        <v>78</v>
      </c>
      <c r="D616" s="48" t="e">
        <f>D7+D29+D50+D72+D94+D116+D138+D160+D182+D204+D226+D248+D270+D292+#REF!+D556+D578+D599+D380+D358+D336+D314+D424+D402+D512+D490+D468+D446+D534</f>
        <v>#REF!</v>
      </c>
      <c r="E616" s="49">
        <f>'[1]Yearly sheet'!AO35</f>
        <v>33915536.316977262</v>
      </c>
      <c r="F616" s="48" t="e">
        <f>D616-E616</f>
        <v>#REF!</v>
      </c>
    </row>
    <row r="617" spans="1:6" x14ac:dyDescent="0.25">
      <c r="B617" s="50"/>
      <c r="C617" s="47" t="s">
        <v>79</v>
      </c>
      <c r="D617" s="48" t="e">
        <f>D8+D30+D51+D73+D95+D117+D139+D161+D183+D205+D227+D249+D271+D293+#REF!+D557+D579+D600+D381+D359+D337+D315+D425+D403+D513+D491+D469+D447+D535</f>
        <v>#REF!</v>
      </c>
      <c r="E617" s="49">
        <f>'[1]Yearly sheet'!BB35</f>
        <v>4937908.3915136363</v>
      </c>
      <c r="F617" s="48" t="e">
        <f t="shared" ref="F617:F618" si="0">D617-E617</f>
        <v>#REF!</v>
      </c>
    </row>
    <row r="618" spans="1:6" x14ac:dyDescent="0.25">
      <c r="B618" s="50"/>
      <c r="C618" s="47" t="s">
        <v>80</v>
      </c>
      <c r="D618" s="48" t="e">
        <f>D9+D31+D52+D74+D96+D118+D140+D162+D184+D206+D228+D250+D272+D294+#REF!+D558+D580+D601+D382+D360+D338+D316+D426+D404+D492+D470+D448+D514</f>
        <v>#REF!</v>
      </c>
      <c r="E618" s="49">
        <f>'[1]Yearly sheet'!BZ35</f>
        <v>3595439.8931976496</v>
      </c>
      <c r="F618" s="48" t="e">
        <f t="shared" si="0"/>
        <v>#REF!</v>
      </c>
    </row>
  </sheetData>
  <mergeCells count="192">
    <mergeCell ref="A22:D22"/>
    <mergeCell ref="C26:D27"/>
    <mergeCell ref="A28:B28"/>
    <mergeCell ref="C28:D28"/>
    <mergeCell ref="C33:D37"/>
    <mergeCell ref="C38:D38"/>
    <mergeCell ref="A1:D1"/>
    <mergeCell ref="C5:D5"/>
    <mergeCell ref="A6:B6"/>
    <mergeCell ref="C6:D6"/>
    <mergeCell ref="C11:D15"/>
    <mergeCell ref="C16:D16"/>
    <mergeCell ref="C69:D69"/>
    <mergeCell ref="A71:B71"/>
    <mergeCell ref="C71:D71"/>
    <mergeCell ref="C76:D80"/>
    <mergeCell ref="A79:B79"/>
    <mergeCell ref="C81:D81"/>
    <mergeCell ref="A44:D44"/>
    <mergeCell ref="A49:B49"/>
    <mergeCell ref="C49:D49"/>
    <mergeCell ref="C54:D58"/>
    <mergeCell ref="C59:D59"/>
    <mergeCell ref="A65:D65"/>
    <mergeCell ref="C103:D103"/>
    <mergeCell ref="A109:D109"/>
    <mergeCell ref="C113:D113"/>
    <mergeCell ref="A115:B115"/>
    <mergeCell ref="C115:D115"/>
    <mergeCell ref="C120:D124"/>
    <mergeCell ref="A123:B123"/>
    <mergeCell ref="A87:D87"/>
    <mergeCell ref="C91:D91"/>
    <mergeCell ref="A93:B93"/>
    <mergeCell ref="C93:D93"/>
    <mergeCell ref="C98:D102"/>
    <mergeCell ref="A101:B101"/>
    <mergeCell ref="C147:D147"/>
    <mergeCell ref="A153:D153"/>
    <mergeCell ref="C157:D157"/>
    <mergeCell ref="A159:B159"/>
    <mergeCell ref="C159:D159"/>
    <mergeCell ref="C164:D168"/>
    <mergeCell ref="A167:B167"/>
    <mergeCell ref="C125:D125"/>
    <mergeCell ref="A131:D131"/>
    <mergeCell ref="C135:D135"/>
    <mergeCell ref="A137:B137"/>
    <mergeCell ref="C137:D137"/>
    <mergeCell ref="C142:D146"/>
    <mergeCell ref="A145:B145"/>
    <mergeCell ref="C191:D191"/>
    <mergeCell ref="A197:D197"/>
    <mergeCell ref="C201:D201"/>
    <mergeCell ref="A203:B203"/>
    <mergeCell ref="C203:D203"/>
    <mergeCell ref="C208:D212"/>
    <mergeCell ref="A211:B211"/>
    <mergeCell ref="C169:D169"/>
    <mergeCell ref="A175:D175"/>
    <mergeCell ref="C179:D179"/>
    <mergeCell ref="A181:B181"/>
    <mergeCell ref="C181:D181"/>
    <mergeCell ref="C186:D190"/>
    <mergeCell ref="A189:B189"/>
    <mergeCell ref="C235:D235"/>
    <mergeCell ref="A241:D241"/>
    <mergeCell ref="C245:D245"/>
    <mergeCell ref="A247:B247"/>
    <mergeCell ref="C247:D247"/>
    <mergeCell ref="C252:D256"/>
    <mergeCell ref="A255:B255"/>
    <mergeCell ref="C213:D213"/>
    <mergeCell ref="A219:D219"/>
    <mergeCell ref="C223:D223"/>
    <mergeCell ref="A225:B225"/>
    <mergeCell ref="C225:D225"/>
    <mergeCell ref="C230:D234"/>
    <mergeCell ref="A233:B233"/>
    <mergeCell ref="C279:D279"/>
    <mergeCell ref="A285:D285"/>
    <mergeCell ref="C289:D289"/>
    <mergeCell ref="A291:B291"/>
    <mergeCell ref="C291:D291"/>
    <mergeCell ref="C296:D300"/>
    <mergeCell ref="A299:B299"/>
    <mergeCell ref="C257:D257"/>
    <mergeCell ref="A263:D263"/>
    <mergeCell ref="C267:D267"/>
    <mergeCell ref="A269:B269"/>
    <mergeCell ref="C269:D269"/>
    <mergeCell ref="C274:D278"/>
    <mergeCell ref="A277:B277"/>
    <mergeCell ref="C323:D323"/>
    <mergeCell ref="A329:D329"/>
    <mergeCell ref="C333:D333"/>
    <mergeCell ref="A335:B335"/>
    <mergeCell ref="C335:D335"/>
    <mergeCell ref="C340:D344"/>
    <mergeCell ref="A343:B343"/>
    <mergeCell ref="C301:D301"/>
    <mergeCell ref="A307:D307"/>
    <mergeCell ref="C311:D311"/>
    <mergeCell ref="A313:B313"/>
    <mergeCell ref="C313:D313"/>
    <mergeCell ref="C318:D322"/>
    <mergeCell ref="A321:B321"/>
    <mergeCell ref="C367:D367"/>
    <mergeCell ref="A373:D373"/>
    <mergeCell ref="C377:D377"/>
    <mergeCell ref="A379:B379"/>
    <mergeCell ref="C379:D379"/>
    <mergeCell ref="C384:D388"/>
    <mergeCell ref="A387:B387"/>
    <mergeCell ref="C345:D345"/>
    <mergeCell ref="A351:D351"/>
    <mergeCell ref="C355:D355"/>
    <mergeCell ref="A357:B357"/>
    <mergeCell ref="C357:D357"/>
    <mergeCell ref="C362:D366"/>
    <mergeCell ref="A365:B365"/>
    <mergeCell ref="C411:D411"/>
    <mergeCell ref="A417:D417"/>
    <mergeCell ref="C421:D421"/>
    <mergeCell ref="A423:B423"/>
    <mergeCell ref="C423:D423"/>
    <mergeCell ref="C428:D432"/>
    <mergeCell ref="A431:B431"/>
    <mergeCell ref="C389:D389"/>
    <mergeCell ref="A395:D395"/>
    <mergeCell ref="C399:D399"/>
    <mergeCell ref="A401:B401"/>
    <mergeCell ref="C401:D401"/>
    <mergeCell ref="C406:D410"/>
    <mergeCell ref="A409:B409"/>
    <mergeCell ref="C455:D455"/>
    <mergeCell ref="A461:D461"/>
    <mergeCell ref="C465:D465"/>
    <mergeCell ref="A467:B467"/>
    <mergeCell ref="C467:D467"/>
    <mergeCell ref="C472:D476"/>
    <mergeCell ref="A475:B475"/>
    <mergeCell ref="C433:D433"/>
    <mergeCell ref="A439:D439"/>
    <mergeCell ref="C443:D443"/>
    <mergeCell ref="A445:B445"/>
    <mergeCell ref="C445:D445"/>
    <mergeCell ref="C450:D454"/>
    <mergeCell ref="A453:B453"/>
    <mergeCell ref="C499:D499"/>
    <mergeCell ref="A505:D505"/>
    <mergeCell ref="C509:D509"/>
    <mergeCell ref="A511:B511"/>
    <mergeCell ref="C511:D511"/>
    <mergeCell ref="C516:D520"/>
    <mergeCell ref="A519:B519"/>
    <mergeCell ref="C477:D477"/>
    <mergeCell ref="A483:D483"/>
    <mergeCell ref="C487:D487"/>
    <mergeCell ref="A489:B489"/>
    <mergeCell ref="C489:D489"/>
    <mergeCell ref="C494:D498"/>
    <mergeCell ref="A497:B497"/>
    <mergeCell ref="A549:D549"/>
    <mergeCell ref="C553:D553"/>
    <mergeCell ref="A555:B555"/>
    <mergeCell ref="C555:D555"/>
    <mergeCell ref="C560:D564"/>
    <mergeCell ref="A563:B563"/>
    <mergeCell ref="C543:D543"/>
    <mergeCell ref="C521:D521"/>
    <mergeCell ref="A527:D527"/>
    <mergeCell ref="C531:D531"/>
    <mergeCell ref="A533:B533"/>
    <mergeCell ref="C533:D533"/>
    <mergeCell ref="C538:D542"/>
    <mergeCell ref="A541:B541"/>
    <mergeCell ref="C608:D608"/>
    <mergeCell ref="C587:D587"/>
    <mergeCell ref="A592:D592"/>
    <mergeCell ref="C596:D596"/>
    <mergeCell ref="A598:B598"/>
    <mergeCell ref="C598:D598"/>
    <mergeCell ref="C603:D607"/>
    <mergeCell ref="A606:B606"/>
    <mergeCell ref="C565:D565"/>
    <mergeCell ref="A571:D571"/>
    <mergeCell ref="C575:D575"/>
    <mergeCell ref="A577:B577"/>
    <mergeCell ref="C577:D577"/>
    <mergeCell ref="C582:D586"/>
    <mergeCell ref="A585:B585"/>
  </mergeCells>
  <pageMargins left="0.7" right="0.7" top="0.75" bottom="0.75" header="0.3" footer="0.3"/>
  <pageSetup scale="80" orientation="landscape" r:id="rId1"/>
  <rowBreaks count="26" manualBreakCount="26">
    <brk id="20" max="3" man="1"/>
    <brk id="42" max="3" man="1"/>
    <brk id="63" max="3" man="1"/>
    <brk id="85" max="3" man="1"/>
    <brk id="107" max="3" man="1"/>
    <brk id="129" max="3" man="1"/>
    <brk id="151" max="3" man="1"/>
    <brk id="173" max="3" man="1"/>
    <brk id="195" max="3" man="1"/>
    <brk id="217" max="3" man="1"/>
    <brk id="239" max="3" man="1"/>
    <brk id="261" max="3" man="1"/>
    <brk id="283" max="3" man="1"/>
    <brk id="305" max="3" man="1"/>
    <brk id="327" max="3" man="1"/>
    <brk id="349" max="3" man="1"/>
    <brk id="371" max="3" man="1"/>
    <brk id="393" max="3" man="1"/>
    <brk id="415" max="3" man="1"/>
    <brk id="437" max="3" man="1"/>
    <brk id="459" max="3" man="1"/>
    <brk id="481" max="3" man="1"/>
    <brk id="503" max="3" man="1"/>
    <brk id="525" max="3" man="1"/>
    <brk id="547" max="3" man="1"/>
    <brk id="569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Payslip May </vt:lpstr>
      <vt:lpstr>'Payslip May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Tated</dc:creator>
  <cp:lastModifiedBy>Aditya Kumar Gupta</cp:lastModifiedBy>
  <dcterms:created xsi:type="dcterms:W3CDTF">2026-05-22T04:26:24Z</dcterms:created>
  <dcterms:modified xsi:type="dcterms:W3CDTF">2026-08-10T08:10:59Z</dcterms:modified>
</cp:coreProperties>
</file>